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Downloads\"/>
    </mc:Choice>
  </mc:AlternateContent>
  <xr:revisionPtr revIDLastSave="0" documentId="13_ncr:1_{B5DAAC7D-D6E3-4047-BEDF-FBBE01E1A445}" xr6:coauthVersionLast="47" xr6:coauthVersionMax="47" xr10:uidLastSave="{00000000-0000-0000-0000-000000000000}"/>
  <bookViews>
    <workbookView xWindow="-108" yWindow="-108" windowWidth="23256" windowHeight="12456" tabRatio="770" xr2:uid="{00000000-000D-0000-FFFF-FFFF00000000}"/>
  </bookViews>
  <sheets>
    <sheet name="DETALLE OPERACION FINAL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0" i="9" l="1"/>
  <c r="L51" i="9" s="1"/>
  <c r="L52" i="9" s="1"/>
  <c r="K59" i="9"/>
  <c r="L58" i="9"/>
  <c r="L57" i="9"/>
  <c r="L56" i="9"/>
  <c r="K51" i="9"/>
  <c r="K52" i="9" s="1"/>
  <c r="F51" i="9"/>
  <c r="F52" i="9"/>
  <c r="K67" i="9"/>
  <c r="L50" i="9"/>
  <c r="L49" i="9"/>
  <c r="L48" i="9"/>
  <c r="L47" i="9"/>
  <c r="L46" i="9"/>
  <c r="L45" i="9"/>
  <c r="L44" i="9"/>
  <c r="L43" i="9"/>
  <c r="L42" i="9"/>
  <c r="L41" i="9"/>
  <c r="F36" i="9"/>
  <c r="L30" i="9"/>
  <c r="L29" i="9"/>
  <c r="L28" i="9"/>
  <c r="L26" i="9"/>
  <c r="E51" i="9" l="1"/>
  <c r="E52" i="9" s="1"/>
  <c r="E36" i="9"/>
  <c r="C53" i="9" l="1"/>
  <c r="L55" i="9" l="1"/>
  <c r="F55" i="9"/>
  <c r="F59" i="9" s="1"/>
  <c r="E59" i="9"/>
  <c r="E61" i="9" s="1"/>
  <c r="L59" i="9" l="1"/>
  <c r="K68" i="9"/>
  <c r="L25" i="9" l="1"/>
  <c r="L27" i="9" l="1"/>
  <c r="L36" i="9" s="1"/>
  <c r="L61" i="9" s="1"/>
  <c r="E64" i="9" s="1"/>
  <c r="K36" i="9"/>
  <c r="K61" i="9" s="1"/>
  <c r="E68" i="9" l="1"/>
  <c r="E70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C5880DA9-6080-4E87-BD37-B3D5D58FBD5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</t>
        </r>
      </text>
    </comment>
  </commentList>
</comments>
</file>

<file path=xl/sharedStrings.xml><?xml version="1.0" encoding="utf-8"?>
<sst xmlns="http://schemas.openxmlformats.org/spreadsheetml/2006/main" count="89" uniqueCount="65">
  <si>
    <t>SEGURO</t>
  </si>
  <si>
    <t>TER LCL</t>
  </si>
  <si>
    <t>MONEDA:</t>
  </si>
  <si>
    <t>USD</t>
  </si>
  <si>
    <t>CLIENTE:</t>
  </si>
  <si>
    <t>ORIGEN:</t>
  </si>
  <si>
    <t xml:space="preserve">SAO PAULO </t>
  </si>
  <si>
    <t>CONTACTO:</t>
  </si>
  <si>
    <t>DESTINO:</t>
  </si>
  <si>
    <t>TELEFONO:</t>
  </si>
  <si>
    <t>MERC.:</t>
  </si>
  <si>
    <t xml:space="preserve">AWB </t>
  </si>
  <si>
    <t>PESO BRUTO TOTAL</t>
  </si>
  <si>
    <t>KGS</t>
  </si>
  <si>
    <t>PESO VOL. TOTAL</t>
  </si>
  <si>
    <t xml:space="preserve">MT3 </t>
  </si>
  <si>
    <t>COMPRA  $</t>
  </si>
  <si>
    <t xml:space="preserve"> </t>
  </si>
  <si>
    <t>FECHA:</t>
  </si>
  <si>
    <t>VENTA    $</t>
  </si>
  <si>
    <t>RECIBO:</t>
  </si>
  <si>
    <t xml:space="preserve">RAYFLEX / AC GROUP </t>
  </si>
  <si>
    <t>COMPRA DEL AGENTE</t>
  </si>
  <si>
    <t>VENTA AL CLIENTE</t>
  </si>
  <si>
    <t>CARGOS</t>
  </si>
  <si>
    <t>USD X KG</t>
  </si>
  <si>
    <t>TOTAL</t>
  </si>
  <si>
    <t>PROFIT</t>
  </si>
  <si>
    <t xml:space="preserve">FLETE TERRESTRE </t>
  </si>
  <si>
    <t>DESPACHO ADUANERO</t>
  </si>
  <si>
    <t xml:space="preserve">USD </t>
  </si>
  <si>
    <t>COSTOS LOCALES</t>
  </si>
  <si>
    <t>GASTOS LOCALES AL CLIENTE</t>
  </si>
  <si>
    <t>SEGURO DE CARGA</t>
  </si>
  <si>
    <t xml:space="preserve">SEGURO DE CARGA </t>
  </si>
  <si>
    <t>TOTAL U$D</t>
  </si>
  <si>
    <t xml:space="preserve">TOTAL GENERAL COMPRAS </t>
  </si>
  <si>
    <t>TOTAL GENERAL VENTAS                        USD</t>
  </si>
  <si>
    <t xml:space="preserve">DETALLE DE PAGOS </t>
  </si>
  <si>
    <t xml:space="preserve">AGENTE </t>
  </si>
  <si>
    <t>RETENCION</t>
  </si>
  <si>
    <t>GASTOS LOC</t>
  </si>
  <si>
    <t xml:space="preserve">ADICIONAL RETENCION </t>
  </si>
  <si>
    <t xml:space="preserve">VANO </t>
  </si>
  <si>
    <t xml:space="preserve">BIEN ASEG </t>
  </si>
  <si>
    <t>AUTOMASTER</t>
  </si>
  <si>
    <t xml:space="preserve">PUERTAS VENTA </t>
  </si>
  <si>
    <t>PUERTAS COSTO</t>
  </si>
  <si>
    <t>CANT. DE BULTOS</t>
  </si>
  <si>
    <t>CAJAS</t>
  </si>
  <si>
    <t>INSTALACION</t>
  </si>
  <si>
    <t xml:space="preserve">PUERTA VENDIDA </t>
  </si>
  <si>
    <t>A PAGAR</t>
  </si>
  <si>
    <t>PROFFIT GENERAL ATM</t>
  </si>
  <si>
    <t>PROFFIT SERVICIO</t>
  </si>
  <si>
    <t>PROFFIT VENDEDOR</t>
  </si>
  <si>
    <t>PROFFIT FINAL ATM</t>
  </si>
  <si>
    <t>FINANCIACION</t>
  </si>
  <si>
    <t>PORTICO DE METAL</t>
  </si>
  <si>
    <t>FC/RC</t>
  </si>
  <si>
    <t>DESCUENTO</t>
  </si>
  <si>
    <t>ATM</t>
  </si>
  <si>
    <t>AC</t>
  </si>
  <si>
    <t>REF: Nº 031-26</t>
  </si>
  <si>
    <t>Comisión =20%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</si>
</sst>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_ ;_ * \-#,##0_ ;_ * &quot;-&quot;_ ;_ @_ "/>
    <numFmt numFmtId="168" formatCode="#,##0.00;[Red]#,##0.00"/>
    <numFmt numFmtId="169" formatCode="[$-C0A]d\-mmm\-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Verdana Ref"/>
      <family val="2"/>
    </font>
    <font>
      <b/>
      <sz val="10"/>
      <name val="Verdana Ref"/>
      <family val="2"/>
    </font>
    <font>
      <b/>
      <sz val="25"/>
      <name val="Verdana Ref"/>
      <family val="2"/>
    </font>
    <font>
      <i/>
      <sz val="15"/>
      <name val="Verdana Ref"/>
      <family val="2"/>
    </font>
    <font>
      <b/>
      <sz val="10"/>
      <name val="Verdana Ref"/>
    </font>
    <font>
      <b/>
      <sz val="17"/>
      <name val="Verdana Ref"/>
      <family val="2"/>
    </font>
    <font>
      <b/>
      <sz val="10"/>
      <color indexed="10"/>
      <name val="Verdana Ref"/>
      <family val="2"/>
    </font>
    <font>
      <b/>
      <sz val="10"/>
      <color indexed="12"/>
      <name val="Verdana Ref"/>
    </font>
    <font>
      <b/>
      <sz val="10"/>
      <color rgb="FFFF0000"/>
      <name val="Verdana Ref"/>
    </font>
    <font>
      <b/>
      <sz val="12"/>
      <name val="Verdana Ref"/>
      <family val="2"/>
    </font>
    <font>
      <b/>
      <sz val="10"/>
      <color rgb="FFFF0000"/>
      <name val="Verdana Ref"/>
      <family val="2"/>
    </font>
    <font>
      <b/>
      <sz val="10"/>
      <color indexed="12"/>
      <name val="Verdana Ref"/>
      <family val="2"/>
    </font>
    <font>
      <sz val="10"/>
      <color indexed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Verdana Ref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5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20" xfId="0" applyFont="1" applyBorder="1" applyAlignment="1">
      <alignment horizontal="right"/>
    </xf>
    <xf numFmtId="0" fontId="8" fillId="0" borderId="21" xfId="0" applyFont="1" applyBorder="1" applyAlignment="1">
      <alignment horizontal="center"/>
    </xf>
    <xf numFmtId="0" fontId="9" fillId="0" borderId="0" xfId="0" applyFont="1"/>
    <xf numFmtId="0" fontId="5" fillId="0" borderId="22" xfId="0" applyFont="1" applyBorder="1"/>
    <xf numFmtId="0" fontId="5" fillId="0" borderId="25" xfId="0" applyFont="1" applyBorder="1"/>
    <xf numFmtId="0" fontId="5" fillId="0" borderId="6" xfId="0" applyFont="1" applyBorder="1"/>
    <xf numFmtId="0" fontId="4" fillId="0" borderId="0" xfId="0" applyFont="1" applyAlignment="1">
      <alignment horizontal="left"/>
    </xf>
    <xf numFmtId="4" fontId="4" fillId="0" borderId="26" xfId="0" applyNumberFormat="1" applyFont="1" applyBorder="1" applyAlignment="1">
      <alignment horizontal="right"/>
    </xf>
    <xf numFmtId="0" fontId="5" fillId="0" borderId="20" xfId="0" applyFont="1" applyBorder="1"/>
    <xf numFmtId="0" fontId="4" fillId="0" borderId="21" xfId="0" quotePrefix="1" applyFont="1" applyBorder="1" applyAlignment="1">
      <alignment horizontal="center"/>
    </xf>
    <xf numFmtId="0" fontId="11" fillId="0" borderId="0" xfId="0" applyFont="1"/>
    <xf numFmtId="3" fontId="11" fillId="0" borderId="27" xfId="0" applyNumberFormat="1" applyFont="1" applyBorder="1"/>
    <xf numFmtId="0" fontId="5" fillId="0" borderId="8" xfId="0" applyFont="1" applyBorder="1" applyAlignment="1">
      <alignment horizontal="right"/>
    </xf>
    <xf numFmtId="14" fontId="4" fillId="0" borderId="21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7" xfId="0" applyFont="1" applyBorder="1"/>
    <xf numFmtId="0" fontId="10" fillId="0" borderId="0" xfId="0" applyFont="1"/>
    <xf numFmtId="0" fontId="4" fillId="0" borderId="0" xfId="0" applyFont="1" applyAlignment="1">
      <alignment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/>
    </xf>
    <xf numFmtId="0" fontId="4" fillId="0" borderId="0" xfId="0" applyFont="1" applyAlignment="1">
      <alignment horizontal="center"/>
    </xf>
    <xf numFmtId="4" fontId="4" fillId="0" borderId="32" xfId="0" applyNumberFormat="1" applyFont="1" applyBorder="1" applyAlignment="1">
      <alignment horizontal="right"/>
    </xf>
    <xf numFmtId="4" fontId="4" fillId="0" borderId="33" xfId="0" applyNumberFormat="1" applyFont="1" applyBorder="1" applyAlignment="1">
      <alignment horizontal="right"/>
    </xf>
    <xf numFmtId="4" fontId="4" fillId="0" borderId="0" xfId="0" applyNumberFormat="1" applyFont="1" applyAlignment="1">
      <alignment horizontal="center"/>
    </xf>
    <xf numFmtId="4" fontId="4" fillId="0" borderId="0" xfId="0" applyNumberFormat="1" applyFont="1"/>
    <xf numFmtId="4" fontId="4" fillId="0" borderId="27" xfId="0" applyNumberFormat="1" applyFont="1" applyBorder="1" applyAlignment="1">
      <alignment horizontal="right"/>
    </xf>
    <xf numFmtId="4" fontId="4" fillId="5" borderId="35" xfId="0" applyNumberFormat="1" applyFont="1" applyFill="1" applyBorder="1" applyAlignment="1">
      <alignment horizontal="right"/>
    </xf>
    <xf numFmtId="4" fontId="4" fillId="0" borderId="35" xfId="0" applyNumberFormat="1" applyFont="1" applyBorder="1" applyAlignment="1">
      <alignment horizontal="right"/>
    </xf>
    <xf numFmtId="0" fontId="4" fillId="0" borderId="34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36" xfId="0" applyFont="1" applyBorder="1" applyAlignment="1">
      <alignment horizontal="left"/>
    </xf>
    <xf numFmtId="0" fontId="4" fillId="0" borderId="37" xfId="0" applyFont="1" applyBorder="1" applyAlignment="1">
      <alignment horizontal="left"/>
    </xf>
    <xf numFmtId="4" fontId="4" fillId="0" borderId="37" xfId="0" applyNumberFormat="1" applyFont="1" applyBorder="1" applyAlignment="1">
      <alignment horizontal="right"/>
    </xf>
    <xf numFmtId="4" fontId="4" fillId="0" borderId="38" xfId="0" applyNumberFormat="1" applyFont="1" applyBorder="1" applyAlignment="1">
      <alignment horizontal="right"/>
    </xf>
    <xf numFmtId="0" fontId="5" fillId="0" borderId="39" xfId="0" applyFont="1" applyBorder="1" applyAlignment="1">
      <alignment horizontal="right"/>
    </xf>
    <xf numFmtId="4" fontId="5" fillId="0" borderId="39" xfId="0" applyNumberFormat="1" applyFont="1" applyBorder="1" applyAlignment="1">
      <alignment horizontal="right"/>
    </xf>
    <xf numFmtId="0" fontId="5" fillId="0" borderId="6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4" fontId="5" fillId="0" borderId="0" xfId="0" applyNumberFormat="1" applyFont="1" applyAlignment="1">
      <alignment horizontal="right"/>
    </xf>
    <xf numFmtId="3" fontId="4" fillId="0" borderId="32" xfId="0" applyNumberFormat="1" applyFont="1" applyBorder="1" applyAlignment="1">
      <alignment horizontal="right"/>
    </xf>
    <xf numFmtId="3" fontId="4" fillId="0" borderId="40" xfId="0" applyNumberFormat="1" applyFont="1" applyBorder="1" applyAlignment="1">
      <alignment horizontal="right"/>
    </xf>
    <xf numFmtId="3" fontId="4" fillId="0" borderId="27" xfId="0" applyNumberFormat="1" applyFont="1" applyBorder="1" applyAlignment="1">
      <alignment horizontal="right"/>
    </xf>
    <xf numFmtId="3" fontId="4" fillId="5" borderId="35" xfId="0" applyNumberFormat="1" applyFont="1" applyFill="1" applyBorder="1" applyAlignment="1">
      <alignment horizontal="right"/>
    </xf>
    <xf numFmtId="3" fontId="4" fillId="0" borderId="41" xfId="0" applyNumberFormat="1" applyFont="1" applyBorder="1" applyAlignment="1">
      <alignment horizontal="right"/>
    </xf>
    <xf numFmtId="3" fontId="4" fillId="0" borderId="35" xfId="0" applyNumberFormat="1" applyFont="1" applyBorder="1" applyAlignment="1">
      <alignment horizontal="right"/>
    </xf>
    <xf numFmtId="4" fontId="4" fillId="0" borderId="37" xfId="0" applyNumberFormat="1" applyFont="1" applyBorder="1" applyAlignment="1">
      <alignment horizontal="center"/>
    </xf>
    <xf numFmtId="3" fontId="4" fillId="0" borderId="38" xfId="0" applyNumberFormat="1" applyFont="1" applyBorder="1" applyAlignment="1">
      <alignment horizontal="right"/>
    </xf>
    <xf numFmtId="3" fontId="4" fillId="0" borderId="42" xfId="0" applyNumberFormat="1" applyFont="1" applyBorder="1" applyAlignment="1">
      <alignment horizontal="right"/>
    </xf>
    <xf numFmtId="3" fontId="5" fillId="0" borderId="39" xfId="0" applyNumberFormat="1" applyFont="1" applyBorder="1" applyAlignment="1">
      <alignment horizontal="right"/>
    </xf>
    <xf numFmtId="3" fontId="4" fillId="0" borderId="0" xfId="0" applyNumberFormat="1" applyFont="1"/>
    <xf numFmtId="0" fontId="5" fillId="0" borderId="0" xfId="0" applyFont="1" applyAlignment="1">
      <alignment horizontal="center"/>
    </xf>
    <xf numFmtId="4" fontId="5" fillId="0" borderId="5" xfId="0" applyNumberFormat="1" applyFont="1" applyBorder="1" applyAlignment="1">
      <alignment horizontal="right"/>
    </xf>
    <xf numFmtId="168" fontId="5" fillId="0" borderId="5" xfId="0" applyNumberFormat="1" applyFont="1" applyBorder="1" applyAlignment="1">
      <alignment horizontal="right"/>
    </xf>
    <xf numFmtId="0" fontId="14" fillId="0" borderId="0" xfId="0" applyFont="1" applyAlignment="1">
      <alignment horizontal="left"/>
    </xf>
    <xf numFmtId="4" fontId="5" fillId="0" borderId="0" xfId="0" applyNumberFormat="1" applyFont="1" applyAlignment="1">
      <alignment horizontal="center"/>
    </xf>
    <xf numFmtId="4" fontId="4" fillId="0" borderId="32" xfId="0" applyNumberFormat="1" applyFont="1" applyBorder="1" applyAlignment="1">
      <alignment horizontal="center"/>
    </xf>
    <xf numFmtId="4" fontId="4" fillId="0" borderId="33" xfId="3" applyNumberFormat="1" applyFont="1" applyBorder="1" applyAlignment="1">
      <alignment horizontal="right"/>
    </xf>
    <xf numFmtId="4" fontId="4" fillId="0" borderId="27" xfId="0" applyNumberFormat="1" applyFont="1" applyBorder="1" applyAlignment="1">
      <alignment horizontal="center"/>
    </xf>
    <xf numFmtId="4" fontId="4" fillId="0" borderId="35" xfId="3" applyNumberFormat="1" applyFont="1" applyBorder="1" applyAlignment="1">
      <alignment horizontal="right"/>
    </xf>
    <xf numFmtId="4" fontId="4" fillId="0" borderId="27" xfId="3" applyNumberFormat="1" applyFont="1" applyBorder="1" applyAlignment="1">
      <alignment horizontal="right"/>
    </xf>
    <xf numFmtId="4" fontId="4" fillId="0" borderId="38" xfId="3" applyNumberFormat="1" applyFont="1" applyBorder="1" applyAlignment="1">
      <alignment horizontal="right"/>
    </xf>
    <xf numFmtId="4" fontId="4" fillId="0" borderId="37" xfId="3" applyNumberFormat="1" applyFont="1" applyBorder="1" applyAlignment="1">
      <alignment horizontal="right"/>
    </xf>
    <xf numFmtId="4" fontId="5" fillId="0" borderId="39" xfId="3" applyNumberFormat="1" applyFont="1" applyBorder="1" applyAlignment="1">
      <alignment horizontal="right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4" fontId="5" fillId="0" borderId="5" xfId="0" applyNumberFormat="1" applyFont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4" fontId="5" fillId="0" borderId="5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4" fontId="13" fillId="0" borderId="0" xfId="0" applyNumberFormat="1" applyFont="1" applyAlignment="1">
      <alignment horizontal="right" vertical="center"/>
    </xf>
    <xf numFmtId="0" fontId="4" fillId="0" borderId="31" xfId="0" applyFont="1" applyBorder="1"/>
    <xf numFmtId="0" fontId="4" fillId="0" borderId="32" xfId="0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4" fillId="0" borderId="34" xfId="0" applyFont="1" applyBorder="1"/>
    <xf numFmtId="0" fontId="4" fillId="0" borderId="27" xfId="0" applyFont="1" applyBorder="1" applyAlignment="1">
      <alignment horizontal="right"/>
    </xf>
    <xf numFmtId="0" fontId="5" fillId="0" borderId="0" xfId="0" applyFont="1" applyAlignment="1">
      <alignment wrapText="1"/>
    </xf>
    <xf numFmtId="0" fontId="4" fillId="0" borderId="4" xfId="0" applyFont="1" applyBorder="1" applyAlignment="1">
      <alignment horizontal="center"/>
    </xf>
    <xf numFmtId="0" fontId="4" fillId="0" borderId="37" xfId="0" applyFont="1" applyBorder="1" applyAlignment="1">
      <alignment horizontal="right"/>
    </xf>
    <xf numFmtId="0" fontId="13" fillId="0" borderId="0" xfId="0" applyFont="1" applyAlignment="1">
      <alignment vertical="center"/>
    </xf>
    <xf numFmtId="169" fontId="5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0" fontId="16" fillId="0" borderId="0" xfId="0" applyFont="1"/>
    <xf numFmtId="0" fontId="4" fillId="5" borderId="34" xfId="0" applyFont="1" applyFill="1" applyBorder="1" applyAlignment="1">
      <alignment horizontal="left"/>
    </xf>
    <xf numFmtId="0" fontId="4" fillId="5" borderId="27" xfId="0" applyFont="1" applyFill="1" applyBorder="1" applyAlignment="1">
      <alignment horizontal="left"/>
    </xf>
    <xf numFmtId="3" fontId="10" fillId="0" borderId="24" xfId="0" applyNumberFormat="1" applyFont="1" applyBorder="1" applyAlignment="1">
      <alignment horizontal="right"/>
    </xf>
    <xf numFmtId="0" fontId="4" fillId="0" borderId="26" xfId="0" applyFont="1" applyBorder="1"/>
    <xf numFmtId="4" fontId="4" fillId="5" borderId="32" xfId="0" applyNumberFormat="1" applyFont="1" applyFill="1" applyBorder="1" applyAlignment="1">
      <alignment horizontal="right"/>
    </xf>
    <xf numFmtId="4" fontId="4" fillId="5" borderId="27" xfId="0" applyNumberFormat="1" applyFont="1" applyFill="1" applyBorder="1" applyAlignment="1">
      <alignment horizontal="right"/>
    </xf>
    <xf numFmtId="4" fontId="4" fillId="4" borderId="33" xfId="0" applyNumberFormat="1" applyFont="1" applyFill="1" applyBorder="1" applyAlignment="1">
      <alignment horizontal="right"/>
    </xf>
    <xf numFmtId="0" fontId="8" fillId="0" borderId="0" xfId="0" applyFont="1"/>
    <xf numFmtId="3" fontId="8" fillId="0" borderId="11" xfId="0" applyNumberFormat="1" applyFont="1" applyBorder="1" applyAlignment="1">
      <alignment horizontal="right"/>
    </xf>
    <xf numFmtId="4" fontId="4" fillId="0" borderId="20" xfId="0" applyNumberFormat="1" applyFont="1" applyBorder="1" applyAlignment="1">
      <alignment horizontal="right"/>
    </xf>
    <xf numFmtId="4" fontId="4" fillId="0" borderId="43" xfId="0" applyNumberFormat="1" applyFont="1" applyBorder="1" applyAlignment="1">
      <alignment horizontal="right"/>
    </xf>
    <xf numFmtId="3" fontId="4" fillId="0" borderId="20" xfId="0" applyNumberFormat="1" applyFont="1" applyBorder="1" applyAlignment="1">
      <alignment horizontal="right"/>
    </xf>
    <xf numFmtId="0" fontId="5" fillId="0" borderId="5" xfId="0" applyFont="1" applyBorder="1" applyAlignment="1">
      <alignment horizontal="center" vertical="center"/>
    </xf>
    <xf numFmtId="4" fontId="4" fillId="5" borderId="20" xfId="0" applyNumberFormat="1" applyFont="1" applyFill="1" applyBorder="1" applyAlignment="1">
      <alignment horizontal="right"/>
    </xf>
    <xf numFmtId="3" fontId="4" fillId="5" borderId="20" xfId="0" applyNumberFormat="1" applyFont="1" applyFill="1" applyBorder="1" applyAlignment="1">
      <alignment horizontal="right"/>
    </xf>
    <xf numFmtId="3" fontId="4" fillId="0" borderId="43" xfId="0" applyNumberFormat="1" applyFont="1" applyBorder="1" applyAlignment="1">
      <alignment horizontal="right"/>
    </xf>
    <xf numFmtId="4" fontId="4" fillId="0" borderId="20" xfId="3" applyNumberFormat="1" applyFont="1" applyBorder="1" applyAlignment="1">
      <alignment horizontal="right"/>
    </xf>
    <xf numFmtId="4" fontId="8" fillId="0" borderId="5" xfId="0" applyNumberFormat="1" applyFont="1" applyBorder="1"/>
    <xf numFmtId="0" fontId="5" fillId="6" borderId="5" xfId="0" applyFont="1" applyFill="1" applyBorder="1" applyAlignment="1">
      <alignment horizontal="center" vertical="center"/>
    </xf>
    <xf numFmtId="3" fontId="4" fillId="0" borderId="11" xfId="0" applyNumberFormat="1" applyFont="1" applyBorder="1" applyAlignment="1">
      <alignment horizontal="right"/>
    </xf>
    <xf numFmtId="4" fontId="4" fillId="0" borderId="10" xfId="0" applyNumberFormat="1" applyFont="1" applyBorder="1" applyAlignment="1">
      <alignment horizontal="right"/>
    </xf>
    <xf numFmtId="4" fontId="4" fillId="0" borderId="14" xfId="3" applyNumberFormat="1" applyFont="1" applyBorder="1" applyAlignment="1">
      <alignment horizontal="right"/>
    </xf>
    <xf numFmtId="4" fontId="5" fillId="0" borderId="0" xfId="0" applyNumberFormat="1" applyFont="1" applyAlignment="1">
      <alignment horizontal="right" vertical="center"/>
    </xf>
    <xf numFmtId="4" fontId="8" fillId="0" borderId="0" xfId="0" applyNumberFormat="1" applyFont="1"/>
    <xf numFmtId="3" fontId="4" fillId="4" borderId="35" xfId="0" applyNumberFormat="1" applyFont="1" applyFill="1" applyBorder="1" applyAlignment="1">
      <alignment horizontal="right"/>
    </xf>
    <xf numFmtId="4" fontId="5" fillId="0" borderId="5" xfId="3" applyNumberFormat="1" applyFont="1" applyBorder="1" applyAlignment="1">
      <alignment horizontal="right"/>
    </xf>
    <xf numFmtId="4" fontId="19" fillId="4" borderId="27" xfId="0" applyNumberFormat="1" applyFont="1" applyFill="1" applyBorder="1" applyAlignment="1">
      <alignment horizontal="right"/>
    </xf>
    <xf numFmtId="4" fontId="19" fillId="4" borderId="32" xfId="0" applyNumberFormat="1" applyFont="1" applyFill="1" applyBorder="1" applyAlignment="1">
      <alignment horizontal="right"/>
    </xf>
    <xf numFmtId="164" fontId="4" fillId="0" borderId="0" xfId="4" applyFont="1"/>
    <xf numFmtId="4" fontId="5" fillId="4" borderId="5" xfId="0" applyNumberFormat="1" applyFont="1" applyFill="1" applyBorder="1" applyAlignment="1">
      <alignment horizontal="right"/>
    </xf>
    <xf numFmtId="4" fontId="4" fillId="4" borderId="35" xfId="0" applyNumberFormat="1" applyFont="1" applyFill="1" applyBorder="1" applyAlignment="1">
      <alignment horizontal="right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4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36" xfId="0" applyFont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4" xfId="0" applyBorder="1"/>
    <xf numFmtId="0" fontId="5" fillId="3" borderId="22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5" borderId="34" xfId="0" applyFont="1" applyFill="1" applyBorder="1" applyAlignment="1">
      <alignment horizontal="left"/>
    </xf>
    <xf numFmtId="0" fontId="4" fillId="5" borderId="27" xfId="0" applyFont="1" applyFill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5" fillId="2" borderId="22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left"/>
    </xf>
    <xf numFmtId="0" fontId="4" fillId="5" borderId="32" xfId="0" applyFont="1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11" fontId="8" fillId="0" borderId="7" xfId="0" applyNumberFormat="1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2" fillId="0" borderId="20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3" fillId="2" borderId="27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5">
    <cellStyle name="Millares" xfId="3" builtinId="3"/>
    <cellStyle name="Millares [0]" xfId="4" builtinId="6"/>
    <cellStyle name="Normal" xfId="0" builtinId="0"/>
    <cellStyle name="Normal 2" xfId="1" xr:uid="{00000000-0005-0000-0000-000001000000}"/>
    <cellStyle name="Porcentaje 2" xfId="2" xr:uid="{00000000-0005-0000-0000-000002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1</xdr:row>
      <xdr:rowOff>76200</xdr:rowOff>
    </xdr:from>
    <xdr:to>
      <xdr:col>3</xdr:col>
      <xdr:colOff>325755</xdr:colOff>
      <xdr:row>8</xdr:row>
      <xdr:rowOff>15391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C521DD-A74F-4C73-BD6B-4FA6A48FF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" y="243840"/>
          <a:ext cx="2327910" cy="11964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4BFAE-2844-4D4F-A8F9-AE8683936BE6}">
  <dimension ref="B3:R92"/>
  <sheetViews>
    <sheetView tabSelected="1" topLeftCell="A60" workbookViewId="0">
      <selection activeCell="H4" sqref="H4:L6"/>
    </sheetView>
  </sheetViews>
  <sheetFormatPr baseColWidth="10" defaultColWidth="10.77734375" defaultRowHeight="13.2"/>
  <cols>
    <col min="1" max="1" width="3.44140625" style="1" customWidth="1"/>
    <col min="2" max="2" width="16" style="1" customWidth="1"/>
    <col min="3" max="3" width="14.88671875" style="1" customWidth="1"/>
    <col min="4" max="4" width="12.6640625" style="1" bestFit="1" customWidth="1"/>
    <col min="5" max="6" width="12.33203125" style="1" customWidth="1"/>
    <col min="7" max="7" width="1.88671875" style="1" customWidth="1"/>
    <col min="8" max="8" width="10.77734375" style="1"/>
    <col min="9" max="9" width="18.6640625" style="1" customWidth="1"/>
    <col min="10" max="10" width="12.6640625" style="1" bestFit="1" customWidth="1"/>
    <col min="11" max="11" width="14.44140625" style="1" bestFit="1" customWidth="1"/>
    <col min="12" max="12" width="12.88671875" style="1" customWidth="1"/>
    <col min="13" max="13" width="1.6640625" style="1" customWidth="1"/>
    <col min="14" max="14" width="5.109375" style="1" customWidth="1"/>
    <col min="15" max="15" width="5.6640625" style="1" customWidth="1"/>
    <col min="16" max="16" width="17.44140625" style="1" customWidth="1"/>
    <col min="17" max="257" width="10.77734375" style="1"/>
    <col min="258" max="258" width="3.44140625" style="1" customWidth="1"/>
    <col min="259" max="259" width="16" style="1" customWidth="1"/>
    <col min="260" max="260" width="14.88671875" style="1" customWidth="1"/>
    <col min="261" max="261" width="12.6640625" style="1" bestFit="1" customWidth="1"/>
    <col min="262" max="262" width="12.33203125" style="1" customWidth="1"/>
    <col min="263" max="263" width="1.88671875" style="1" customWidth="1"/>
    <col min="264" max="264" width="10.77734375" style="1"/>
    <col min="265" max="265" width="18.6640625" style="1" customWidth="1"/>
    <col min="266" max="266" width="12.6640625" style="1" bestFit="1" customWidth="1"/>
    <col min="267" max="267" width="14.44140625" style="1" bestFit="1" customWidth="1"/>
    <col min="268" max="268" width="12.88671875" style="1" customWidth="1"/>
    <col min="269" max="269" width="1.6640625" style="1" customWidth="1"/>
    <col min="270" max="513" width="10.77734375" style="1"/>
    <col min="514" max="514" width="3.44140625" style="1" customWidth="1"/>
    <col min="515" max="515" width="16" style="1" customWidth="1"/>
    <col min="516" max="516" width="14.88671875" style="1" customWidth="1"/>
    <col min="517" max="517" width="12.6640625" style="1" bestFit="1" customWidth="1"/>
    <col min="518" max="518" width="12.33203125" style="1" customWidth="1"/>
    <col min="519" max="519" width="1.88671875" style="1" customWidth="1"/>
    <col min="520" max="520" width="10.77734375" style="1"/>
    <col min="521" max="521" width="18.6640625" style="1" customWidth="1"/>
    <col min="522" max="522" width="12.6640625" style="1" bestFit="1" customWidth="1"/>
    <col min="523" max="523" width="14.44140625" style="1" bestFit="1" customWidth="1"/>
    <col min="524" max="524" width="12.88671875" style="1" customWidth="1"/>
    <col min="525" max="525" width="1.6640625" style="1" customWidth="1"/>
    <col min="526" max="769" width="10.77734375" style="1"/>
    <col min="770" max="770" width="3.44140625" style="1" customWidth="1"/>
    <col min="771" max="771" width="16" style="1" customWidth="1"/>
    <col min="772" max="772" width="14.88671875" style="1" customWidth="1"/>
    <col min="773" max="773" width="12.6640625" style="1" bestFit="1" customWidth="1"/>
    <col min="774" max="774" width="12.33203125" style="1" customWidth="1"/>
    <col min="775" max="775" width="1.88671875" style="1" customWidth="1"/>
    <col min="776" max="776" width="10.77734375" style="1"/>
    <col min="777" max="777" width="18.6640625" style="1" customWidth="1"/>
    <col min="778" max="778" width="12.6640625" style="1" bestFit="1" customWidth="1"/>
    <col min="779" max="779" width="14.44140625" style="1" bestFit="1" customWidth="1"/>
    <col min="780" max="780" width="12.88671875" style="1" customWidth="1"/>
    <col min="781" max="781" width="1.6640625" style="1" customWidth="1"/>
    <col min="782" max="1025" width="10.77734375" style="1"/>
    <col min="1026" max="1026" width="3.44140625" style="1" customWidth="1"/>
    <col min="1027" max="1027" width="16" style="1" customWidth="1"/>
    <col min="1028" max="1028" width="14.88671875" style="1" customWidth="1"/>
    <col min="1029" max="1029" width="12.6640625" style="1" bestFit="1" customWidth="1"/>
    <col min="1030" max="1030" width="12.33203125" style="1" customWidth="1"/>
    <col min="1031" max="1031" width="1.88671875" style="1" customWidth="1"/>
    <col min="1032" max="1032" width="10.77734375" style="1"/>
    <col min="1033" max="1033" width="18.6640625" style="1" customWidth="1"/>
    <col min="1034" max="1034" width="12.6640625" style="1" bestFit="1" customWidth="1"/>
    <col min="1035" max="1035" width="14.44140625" style="1" bestFit="1" customWidth="1"/>
    <col min="1036" max="1036" width="12.88671875" style="1" customWidth="1"/>
    <col min="1037" max="1037" width="1.6640625" style="1" customWidth="1"/>
    <col min="1038" max="1281" width="10.77734375" style="1"/>
    <col min="1282" max="1282" width="3.44140625" style="1" customWidth="1"/>
    <col min="1283" max="1283" width="16" style="1" customWidth="1"/>
    <col min="1284" max="1284" width="14.88671875" style="1" customWidth="1"/>
    <col min="1285" max="1285" width="12.6640625" style="1" bestFit="1" customWidth="1"/>
    <col min="1286" max="1286" width="12.33203125" style="1" customWidth="1"/>
    <col min="1287" max="1287" width="1.88671875" style="1" customWidth="1"/>
    <col min="1288" max="1288" width="10.77734375" style="1"/>
    <col min="1289" max="1289" width="18.6640625" style="1" customWidth="1"/>
    <col min="1290" max="1290" width="12.6640625" style="1" bestFit="1" customWidth="1"/>
    <col min="1291" max="1291" width="14.44140625" style="1" bestFit="1" customWidth="1"/>
    <col min="1292" max="1292" width="12.88671875" style="1" customWidth="1"/>
    <col min="1293" max="1293" width="1.6640625" style="1" customWidth="1"/>
    <col min="1294" max="1537" width="10.77734375" style="1"/>
    <col min="1538" max="1538" width="3.44140625" style="1" customWidth="1"/>
    <col min="1539" max="1539" width="16" style="1" customWidth="1"/>
    <col min="1540" max="1540" width="14.88671875" style="1" customWidth="1"/>
    <col min="1541" max="1541" width="12.6640625" style="1" bestFit="1" customWidth="1"/>
    <col min="1542" max="1542" width="12.33203125" style="1" customWidth="1"/>
    <col min="1543" max="1543" width="1.88671875" style="1" customWidth="1"/>
    <col min="1544" max="1544" width="10.77734375" style="1"/>
    <col min="1545" max="1545" width="18.6640625" style="1" customWidth="1"/>
    <col min="1546" max="1546" width="12.6640625" style="1" bestFit="1" customWidth="1"/>
    <col min="1547" max="1547" width="14.44140625" style="1" bestFit="1" customWidth="1"/>
    <col min="1548" max="1548" width="12.88671875" style="1" customWidth="1"/>
    <col min="1549" max="1549" width="1.6640625" style="1" customWidth="1"/>
    <col min="1550" max="1793" width="10.77734375" style="1"/>
    <col min="1794" max="1794" width="3.44140625" style="1" customWidth="1"/>
    <col min="1795" max="1795" width="16" style="1" customWidth="1"/>
    <col min="1796" max="1796" width="14.88671875" style="1" customWidth="1"/>
    <col min="1797" max="1797" width="12.6640625" style="1" bestFit="1" customWidth="1"/>
    <col min="1798" max="1798" width="12.33203125" style="1" customWidth="1"/>
    <col min="1799" max="1799" width="1.88671875" style="1" customWidth="1"/>
    <col min="1800" max="1800" width="10.77734375" style="1"/>
    <col min="1801" max="1801" width="18.6640625" style="1" customWidth="1"/>
    <col min="1802" max="1802" width="12.6640625" style="1" bestFit="1" customWidth="1"/>
    <col min="1803" max="1803" width="14.44140625" style="1" bestFit="1" customWidth="1"/>
    <col min="1804" max="1804" width="12.88671875" style="1" customWidth="1"/>
    <col min="1805" max="1805" width="1.6640625" style="1" customWidth="1"/>
    <col min="1806" max="2049" width="10.77734375" style="1"/>
    <col min="2050" max="2050" width="3.44140625" style="1" customWidth="1"/>
    <col min="2051" max="2051" width="16" style="1" customWidth="1"/>
    <col min="2052" max="2052" width="14.88671875" style="1" customWidth="1"/>
    <col min="2053" max="2053" width="12.6640625" style="1" bestFit="1" customWidth="1"/>
    <col min="2054" max="2054" width="12.33203125" style="1" customWidth="1"/>
    <col min="2055" max="2055" width="1.88671875" style="1" customWidth="1"/>
    <col min="2056" max="2056" width="10.77734375" style="1"/>
    <col min="2057" max="2057" width="18.6640625" style="1" customWidth="1"/>
    <col min="2058" max="2058" width="12.6640625" style="1" bestFit="1" customWidth="1"/>
    <col min="2059" max="2059" width="14.44140625" style="1" bestFit="1" customWidth="1"/>
    <col min="2060" max="2060" width="12.88671875" style="1" customWidth="1"/>
    <col min="2061" max="2061" width="1.6640625" style="1" customWidth="1"/>
    <col min="2062" max="2305" width="10.77734375" style="1"/>
    <col min="2306" max="2306" width="3.44140625" style="1" customWidth="1"/>
    <col min="2307" max="2307" width="16" style="1" customWidth="1"/>
    <col min="2308" max="2308" width="14.88671875" style="1" customWidth="1"/>
    <col min="2309" max="2309" width="12.6640625" style="1" bestFit="1" customWidth="1"/>
    <col min="2310" max="2310" width="12.33203125" style="1" customWidth="1"/>
    <col min="2311" max="2311" width="1.88671875" style="1" customWidth="1"/>
    <col min="2312" max="2312" width="10.77734375" style="1"/>
    <col min="2313" max="2313" width="18.6640625" style="1" customWidth="1"/>
    <col min="2314" max="2314" width="12.6640625" style="1" bestFit="1" customWidth="1"/>
    <col min="2315" max="2315" width="14.44140625" style="1" bestFit="1" customWidth="1"/>
    <col min="2316" max="2316" width="12.88671875" style="1" customWidth="1"/>
    <col min="2317" max="2317" width="1.6640625" style="1" customWidth="1"/>
    <col min="2318" max="2561" width="10.77734375" style="1"/>
    <col min="2562" max="2562" width="3.44140625" style="1" customWidth="1"/>
    <col min="2563" max="2563" width="16" style="1" customWidth="1"/>
    <col min="2564" max="2564" width="14.88671875" style="1" customWidth="1"/>
    <col min="2565" max="2565" width="12.6640625" style="1" bestFit="1" customWidth="1"/>
    <col min="2566" max="2566" width="12.33203125" style="1" customWidth="1"/>
    <col min="2567" max="2567" width="1.88671875" style="1" customWidth="1"/>
    <col min="2568" max="2568" width="10.77734375" style="1"/>
    <col min="2569" max="2569" width="18.6640625" style="1" customWidth="1"/>
    <col min="2570" max="2570" width="12.6640625" style="1" bestFit="1" customWidth="1"/>
    <col min="2571" max="2571" width="14.44140625" style="1" bestFit="1" customWidth="1"/>
    <col min="2572" max="2572" width="12.88671875" style="1" customWidth="1"/>
    <col min="2573" max="2573" width="1.6640625" style="1" customWidth="1"/>
    <col min="2574" max="2817" width="10.77734375" style="1"/>
    <col min="2818" max="2818" width="3.44140625" style="1" customWidth="1"/>
    <col min="2819" max="2819" width="16" style="1" customWidth="1"/>
    <col min="2820" max="2820" width="14.88671875" style="1" customWidth="1"/>
    <col min="2821" max="2821" width="12.6640625" style="1" bestFit="1" customWidth="1"/>
    <col min="2822" max="2822" width="12.33203125" style="1" customWidth="1"/>
    <col min="2823" max="2823" width="1.88671875" style="1" customWidth="1"/>
    <col min="2824" max="2824" width="10.77734375" style="1"/>
    <col min="2825" max="2825" width="18.6640625" style="1" customWidth="1"/>
    <col min="2826" max="2826" width="12.6640625" style="1" bestFit="1" customWidth="1"/>
    <col min="2827" max="2827" width="14.44140625" style="1" bestFit="1" customWidth="1"/>
    <col min="2828" max="2828" width="12.88671875" style="1" customWidth="1"/>
    <col min="2829" max="2829" width="1.6640625" style="1" customWidth="1"/>
    <col min="2830" max="3073" width="10.77734375" style="1"/>
    <col min="3074" max="3074" width="3.44140625" style="1" customWidth="1"/>
    <col min="3075" max="3075" width="16" style="1" customWidth="1"/>
    <col min="3076" max="3076" width="14.88671875" style="1" customWidth="1"/>
    <col min="3077" max="3077" width="12.6640625" style="1" bestFit="1" customWidth="1"/>
    <col min="3078" max="3078" width="12.33203125" style="1" customWidth="1"/>
    <col min="3079" max="3079" width="1.88671875" style="1" customWidth="1"/>
    <col min="3080" max="3080" width="10.77734375" style="1"/>
    <col min="3081" max="3081" width="18.6640625" style="1" customWidth="1"/>
    <col min="3082" max="3082" width="12.6640625" style="1" bestFit="1" customWidth="1"/>
    <col min="3083" max="3083" width="14.44140625" style="1" bestFit="1" customWidth="1"/>
    <col min="3084" max="3084" width="12.88671875" style="1" customWidth="1"/>
    <col min="3085" max="3085" width="1.6640625" style="1" customWidth="1"/>
    <col min="3086" max="3329" width="10.77734375" style="1"/>
    <col min="3330" max="3330" width="3.44140625" style="1" customWidth="1"/>
    <col min="3331" max="3331" width="16" style="1" customWidth="1"/>
    <col min="3332" max="3332" width="14.88671875" style="1" customWidth="1"/>
    <col min="3333" max="3333" width="12.6640625" style="1" bestFit="1" customWidth="1"/>
    <col min="3334" max="3334" width="12.33203125" style="1" customWidth="1"/>
    <col min="3335" max="3335" width="1.88671875" style="1" customWidth="1"/>
    <col min="3336" max="3336" width="10.77734375" style="1"/>
    <col min="3337" max="3337" width="18.6640625" style="1" customWidth="1"/>
    <col min="3338" max="3338" width="12.6640625" style="1" bestFit="1" customWidth="1"/>
    <col min="3339" max="3339" width="14.44140625" style="1" bestFit="1" customWidth="1"/>
    <col min="3340" max="3340" width="12.88671875" style="1" customWidth="1"/>
    <col min="3341" max="3341" width="1.6640625" style="1" customWidth="1"/>
    <col min="3342" max="3585" width="10.77734375" style="1"/>
    <col min="3586" max="3586" width="3.44140625" style="1" customWidth="1"/>
    <col min="3587" max="3587" width="16" style="1" customWidth="1"/>
    <col min="3588" max="3588" width="14.88671875" style="1" customWidth="1"/>
    <col min="3589" max="3589" width="12.6640625" style="1" bestFit="1" customWidth="1"/>
    <col min="3590" max="3590" width="12.33203125" style="1" customWidth="1"/>
    <col min="3591" max="3591" width="1.88671875" style="1" customWidth="1"/>
    <col min="3592" max="3592" width="10.77734375" style="1"/>
    <col min="3593" max="3593" width="18.6640625" style="1" customWidth="1"/>
    <col min="3594" max="3594" width="12.6640625" style="1" bestFit="1" customWidth="1"/>
    <col min="3595" max="3595" width="14.44140625" style="1" bestFit="1" customWidth="1"/>
    <col min="3596" max="3596" width="12.88671875" style="1" customWidth="1"/>
    <col min="3597" max="3597" width="1.6640625" style="1" customWidth="1"/>
    <col min="3598" max="3841" width="10.77734375" style="1"/>
    <col min="3842" max="3842" width="3.44140625" style="1" customWidth="1"/>
    <col min="3843" max="3843" width="16" style="1" customWidth="1"/>
    <col min="3844" max="3844" width="14.88671875" style="1" customWidth="1"/>
    <col min="3845" max="3845" width="12.6640625" style="1" bestFit="1" customWidth="1"/>
    <col min="3846" max="3846" width="12.33203125" style="1" customWidth="1"/>
    <col min="3847" max="3847" width="1.88671875" style="1" customWidth="1"/>
    <col min="3848" max="3848" width="10.77734375" style="1"/>
    <col min="3849" max="3849" width="18.6640625" style="1" customWidth="1"/>
    <col min="3850" max="3850" width="12.6640625" style="1" bestFit="1" customWidth="1"/>
    <col min="3851" max="3851" width="14.44140625" style="1" bestFit="1" customWidth="1"/>
    <col min="3852" max="3852" width="12.88671875" style="1" customWidth="1"/>
    <col min="3853" max="3853" width="1.6640625" style="1" customWidth="1"/>
    <col min="3854" max="4097" width="10.77734375" style="1"/>
    <col min="4098" max="4098" width="3.44140625" style="1" customWidth="1"/>
    <col min="4099" max="4099" width="16" style="1" customWidth="1"/>
    <col min="4100" max="4100" width="14.88671875" style="1" customWidth="1"/>
    <col min="4101" max="4101" width="12.6640625" style="1" bestFit="1" customWidth="1"/>
    <col min="4102" max="4102" width="12.33203125" style="1" customWidth="1"/>
    <col min="4103" max="4103" width="1.88671875" style="1" customWidth="1"/>
    <col min="4104" max="4104" width="10.77734375" style="1"/>
    <col min="4105" max="4105" width="18.6640625" style="1" customWidth="1"/>
    <col min="4106" max="4106" width="12.6640625" style="1" bestFit="1" customWidth="1"/>
    <col min="4107" max="4107" width="14.44140625" style="1" bestFit="1" customWidth="1"/>
    <col min="4108" max="4108" width="12.88671875" style="1" customWidth="1"/>
    <col min="4109" max="4109" width="1.6640625" style="1" customWidth="1"/>
    <col min="4110" max="4353" width="10.77734375" style="1"/>
    <col min="4354" max="4354" width="3.44140625" style="1" customWidth="1"/>
    <col min="4355" max="4355" width="16" style="1" customWidth="1"/>
    <col min="4356" max="4356" width="14.88671875" style="1" customWidth="1"/>
    <col min="4357" max="4357" width="12.6640625" style="1" bestFit="1" customWidth="1"/>
    <col min="4358" max="4358" width="12.33203125" style="1" customWidth="1"/>
    <col min="4359" max="4359" width="1.88671875" style="1" customWidth="1"/>
    <col min="4360" max="4360" width="10.77734375" style="1"/>
    <col min="4361" max="4361" width="18.6640625" style="1" customWidth="1"/>
    <col min="4362" max="4362" width="12.6640625" style="1" bestFit="1" customWidth="1"/>
    <col min="4363" max="4363" width="14.44140625" style="1" bestFit="1" customWidth="1"/>
    <col min="4364" max="4364" width="12.88671875" style="1" customWidth="1"/>
    <col min="4365" max="4365" width="1.6640625" style="1" customWidth="1"/>
    <col min="4366" max="4609" width="10.77734375" style="1"/>
    <col min="4610" max="4610" width="3.44140625" style="1" customWidth="1"/>
    <col min="4611" max="4611" width="16" style="1" customWidth="1"/>
    <col min="4612" max="4612" width="14.88671875" style="1" customWidth="1"/>
    <col min="4613" max="4613" width="12.6640625" style="1" bestFit="1" customWidth="1"/>
    <col min="4614" max="4614" width="12.33203125" style="1" customWidth="1"/>
    <col min="4615" max="4615" width="1.88671875" style="1" customWidth="1"/>
    <col min="4616" max="4616" width="10.77734375" style="1"/>
    <col min="4617" max="4617" width="18.6640625" style="1" customWidth="1"/>
    <col min="4618" max="4618" width="12.6640625" style="1" bestFit="1" customWidth="1"/>
    <col min="4619" max="4619" width="14.44140625" style="1" bestFit="1" customWidth="1"/>
    <col min="4620" max="4620" width="12.88671875" style="1" customWidth="1"/>
    <col min="4621" max="4621" width="1.6640625" style="1" customWidth="1"/>
    <col min="4622" max="4865" width="10.77734375" style="1"/>
    <col min="4866" max="4866" width="3.44140625" style="1" customWidth="1"/>
    <col min="4867" max="4867" width="16" style="1" customWidth="1"/>
    <col min="4868" max="4868" width="14.88671875" style="1" customWidth="1"/>
    <col min="4869" max="4869" width="12.6640625" style="1" bestFit="1" customWidth="1"/>
    <col min="4870" max="4870" width="12.33203125" style="1" customWidth="1"/>
    <col min="4871" max="4871" width="1.88671875" style="1" customWidth="1"/>
    <col min="4872" max="4872" width="10.77734375" style="1"/>
    <col min="4873" max="4873" width="18.6640625" style="1" customWidth="1"/>
    <col min="4874" max="4874" width="12.6640625" style="1" bestFit="1" customWidth="1"/>
    <col min="4875" max="4875" width="14.44140625" style="1" bestFit="1" customWidth="1"/>
    <col min="4876" max="4876" width="12.88671875" style="1" customWidth="1"/>
    <col min="4877" max="4877" width="1.6640625" style="1" customWidth="1"/>
    <col min="4878" max="5121" width="10.77734375" style="1"/>
    <col min="5122" max="5122" width="3.44140625" style="1" customWidth="1"/>
    <col min="5123" max="5123" width="16" style="1" customWidth="1"/>
    <col min="5124" max="5124" width="14.88671875" style="1" customWidth="1"/>
    <col min="5125" max="5125" width="12.6640625" style="1" bestFit="1" customWidth="1"/>
    <col min="5126" max="5126" width="12.33203125" style="1" customWidth="1"/>
    <col min="5127" max="5127" width="1.88671875" style="1" customWidth="1"/>
    <col min="5128" max="5128" width="10.77734375" style="1"/>
    <col min="5129" max="5129" width="18.6640625" style="1" customWidth="1"/>
    <col min="5130" max="5130" width="12.6640625" style="1" bestFit="1" customWidth="1"/>
    <col min="5131" max="5131" width="14.44140625" style="1" bestFit="1" customWidth="1"/>
    <col min="5132" max="5132" width="12.88671875" style="1" customWidth="1"/>
    <col min="5133" max="5133" width="1.6640625" style="1" customWidth="1"/>
    <col min="5134" max="5377" width="10.77734375" style="1"/>
    <col min="5378" max="5378" width="3.44140625" style="1" customWidth="1"/>
    <col min="5379" max="5379" width="16" style="1" customWidth="1"/>
    <col min="5380" max="5380" width="14.88671875" style="1" customWidth="1"/>
    <col min="5381" max="5381" width="12.6640625" style="1" bestFit="1" customWidth="1"/>
    <col min="5382" max="5382" width="12.33203125" style="1" customWidth="1"/>
    <col min="5383" max="5383" width="1.88671875" style="1" customWidth="1"/>
    <col min="5384" max="5384" width="10.77734375" style="1"/>
    <col min="5385" max="5385" width="18.6640625" style="1" customWidth="1"/>
    <col min="5386" max="5386" width="12.6640625" style="1" bestFit="1" customWidth="1"/>
    <col min="5387" max="5387" width="14.44140625" style="1" bestFit="1" customWidth="1"/>
    <col min="5388" max="5388" width="12.88671875" style="1" customWidth="1"/>
    <col min="5389" max="5389" width="1.6640625" style="1" customWidth="1"/>
    <col min="5390" max="5633" width="10.77734375" style="1"/>
    <col min="5634" max="5634" width="3.44140625" style="1" customWidth="1"/>
    <col min="5635" max="5635" width="16" style="1" customWidth="1"/>
    <col min="5636" max="5636" width="14.88671875" style="1" customWidth="1"/>
    <col min="5637" max="5637" width="12.6640625" style="1" bestFit="1" customWidth="1"/>
    <col min="5638" max="5638" width="12.33203125" style="1" customWidth="1"/>
    <col min="5639" max="5639" width="1.88671875" style="1" customWidth="1"/>
    <col min="5640" max="5640" width="10.77734375" style="1"/>
    <col min="5641" max="5641" width="18.6640625" style="1" customWidth="1"/>
    <col min="5642" max="5642" width="12.6640625" style="1" bestFit="1" customWidth="1"/>
    <col min="5643" max="5643" width="14.44140625" style="1" bestFit="1" customWidth="1"/>
    <col min="5644" max="5644" width="12.88671875" style="1" customWidth="1"/>
    <col min="5645" max="5645" width="1.6640625" style="1" customWidth="1"/>
    <col min="5646" max="5889" width="10.77734375" style="1"/>
    <col min="5890" max="5890" width="3.44140625" style="1" customWidth="1"/>
    <col min="5891" max="5891" width="16" style="1" customWidth="1"/>
    <col min="5892" max="5892" width="14.88671875" style="1" customWidth="1"/>
    <col min="5893" max="5893" width="12.6640625" style="1" bestFit="1" customWidth="1"/>
    <col min="5894" max="5894" width="12.33203125" style="1" customWidth="1"/>
    <col min="5895" max="5895" width="1.88671875" style="1" customWidth="1"/>
    <col min="5896" max="5896" width="10.77734375" style="1"/>
    <col min="5897" max="5897" width="18.6640625" style="1" customWidth="1"/>
    <col min="5898" max="5898" width="12.6640625" style="1" bestFit="1" customWidth="1"/>
    <col min="5899" max="5899" width="14.44140625" style="1" bestFit="1" customWidth="1"/>
    <col min="5900" max="5900" width="12.88671875" style="1" customWidth="1"/>
    <col min="5901" max="5901" width="1.6640625" style="1" customWidth="1"/>
    <col min="5902" max="6145" width="10.77734375" style="1"/>
    <col min="6146" max="6146" width="3.44140625" style="1" customWidth="1"/>
    <col min="6147" max="6147" width="16" style="1" customWidth="1"/>
    <col min="6148" max="6148" width="14.88671875" style="1" customWidth="1"/>
    <col min="6149" max="6149" width="12.6640625" style="1" bestFit="1" customWidth="1"/>
    <col min="6150" max="6150" width="12.33203125" style="1" customWidth="1"/>
    <col min="6151" max="6151" width="1.88671875" style="1" customWidth="1"/>
    <col min="6152" max="6152" width="10.77734375" style="1"/>
    <col min="6153" max="6153" width="18.6640625" style="1" customWidth="1"/>
    <col min="6154" max="6154" width="12.6640625" style="1" bestFit="1" customWidth="1"/>
    <col min="6155" max="6155" width="14.44140625" style="1" bestFit="1" customWidth="1"/>
    <col min="6156" max="6156" width="12.88671875" style="1" customWidth="1"/>
    <col min="6157" max="6157" width="1.6640625" style="1" customWidth="1"/>
    <col min="6158" max="6401" width="10.77734375" style="1"/>
    <col min="6402" max="6402" width="3.44140625" style="1" customWidth="1"/>
    <col min="6403" max="6403" width="16" style="1" customWidth="1"/>
    <col min="6404" max="6404" width="14.88671875" style="1" customWidth="1"/>
    <col min="6405" max="6405" width="12.6640625" style="1" bestFit="1" customWidth="1"/>
    <col min="6406" max="6406" width="12.33203125" style="1" customWidth="1"/>
    <col min="6407" max="6407" width="1.88671875" style="1" customWidth="1"/>
    <col min="6408" max="6408" width="10.77734375" style="1"/>
    <col min="6409" max="6409" width="18.6640625" style="1" customWidth="1"/>
    <col min="6410" max="6410" width="12.6640625" style="1" bestFit="1" customWidth="1"/>
    <col min="6411" max="6411" width="14.44140625" style="1" bestFit="1" customWidth="1"/>
    <col min="6412" max="6412" width="12.88671875" style="1" customWidth="1"/>
    <col min="6413" max="6413" width="1.6640625" style="1" customWidth="1"/>
    <col min="6414" max="6657" width="10.77734375" style="1"/>
    <col min="6658" max="6658" width="3.44140625" style="1" customWidth="1"/>
    <col min="6659" max="6659" width="16" style="1" customWidth="1"/>
    <col min="6660" max="6660" width="14.88671875" style="1" customWidth="1"/>
    <col min="6661" max="6661" width="12.6640625" style="1" bestFit="1" customWidth="1"/>
    <col min="6662" max="6662" width="12.33203125" style="1" customWidth="1"/>
    <col min="6663" max="6663" width="1.88671875" style="1" customWidth="1"/>
    <col min="6664" max="6664" width="10.77734375" style="1"/>
    <col min="6665" max="6665" width="18.6640625" style="1" customWidth="1"/>
    <col min="6666" max="6666" width="12.6640625" style="1" bestFit="1" customWidth="1"/>
    <col min="6667" max="6667" width="14.44140625" style="1" bestFit="1" customWidth="1"/>
    <col min="6668" max="6668" width="12.88671875" style="1" customWidth="1"/>
    <col min="6669" max="6669" width="1.6640625" style="1" customWidth="1"/>
    <col min="6670" max="6913" width="10.77734375" style="1"/>
    <col min="6914" max="6914" width="3.44140625" style="1" customWidth="1"/>
    <col min="6915" max="6915" width="16" style="1" customWidth="1"/>
    <col min="6916" max="6916" width="14.88671875" style="1" customWidth="1"/>
    <col min="6917" max="6917" width="12.6640625" style="1" bestFit="1" customWidth="1"/>
    <col min="6918" max="6918" width="12.33203125" style="1" customWidth="1"/>
    <col min="6919" max="6919" width="1.88671875" style="1" customWidth="1"/>
    <col min="6920" max="6920" width="10.77734375" style="1"/>
    <col min="6921" max="6921" width="18.6640625" style="1" customWidth="1"/>
    <col min="6922" max="6922" width="12.6640625" style="1" bestFit="1" customWidth="1"/>
    <col min="6923" max="6923" width="14.44140625" style="1" bestFit="1" customWidth="1"/>
    <col min="6924" max="6924" width="12.88671875" style="1" customWidth="1"/>
    <col min="6925" max="6925" width="1.6640625" style="1" customWidth="1"/>
    <col min="6926" max="7169" width="10.77734375" style="1"/>
    <col min="7170" max="7170" width="3.44140625" style="1" customWidth="1"/>
    <col min="7171" max="7171" width="16" style="1" customWidth="1"/>
    <col min="7172" max="7172" width="14.88671875" style="1" customWidth="1"/>
    <col min="7173" max="7173" width="12.6640625" style="1" bestFit="1" customWidth="1"/>
    <col min="7174" max="7174" width="12.33203125" style="1" customWidth="1"/>
    <col min="7175" max="7175" width="1.88671875" style="1" customWidth="1"/>
    <col min="7176" max="7176" width="10.77734375" style="1"/>
    <col min="7177" max="7177" width="18.6640625" style="1" customWidth="1"/>
    <col min="7178" max="7178" width="12.6640625" style="1" bestFit="1" customWidth="1"/>
    <col min="7179" max="7179" width="14.44140625" style="1" bestFit="1" customWidth="1"/>
    <col min="7180" max="7180" width="12.88671875" style="1" customWidth="1"/>
    <col min="7181" max="7181" width="1.6640625" style="1" customWidth="1"/>
    <col min="7182" max="7425" width="10.77734375" style="1"/>
    <col min="7426" max="7426" width="3.44140625" style="1" customWidth="1"/>
    <col min="7427" max="7427" width="16" style="1" customWidth="1"/>
    <col min="7428" max="7428" width="14.88671875" style="1" customWidth="1"/>
    <col min="7429" max="7429" width="12.6640625" style="1" bestFit="1" customWidth="1"/>
    <col min="7430" max="7430" width="12.33203125" style="1" customWidth="1"/>
    <col min="7431" max="7431" width="1.88671875" style="1" customWidth="1"/>
    <col min="7432" max="7432" width="10.77734375" style="1"/>
    <col min="7433" max="7433" width="18.6640625" style="1" customWidth="1"/>
    <col min="7434" max="7434" width="12.6640625" style="1" bestFit="1" customWidth="1"/>
    <col min="7435" max="7435" width="14.44140625" style="1" bestFit="1" customWidth="1"/>
    <col min="7436" max="7436" width="12.88671875" style="1" customWidth="1"/>
    <col min="7437" max="7437" width="1.6640625" style="1" customWidth="1"/>
    <col min="7438" max="7681" width="10.77734375" style="1"/>
    <col min="7682" max="7682" width="3.44140625" style="1" customWidth="1"/>
    <col min="7683" max="7683" width="16" style="1" customWidth="1"/>
    <col min="7684" max="7684" width="14.88671875" style="1" customWidth="1"/>
    <col min="7685" max="7685" width="12.6640625" style="1" bestFit="1" customWidth="1"/>
    <col min="7686" max="7686" width="12.33203125" style="1" customWidth="1"/>
    <col min="7687" max="7687" width="1.88671875" style="1" customWidth="1"/>
    <col min="7688" max="7688" width="10.77734375" style="1"/>
    <col min="7689" max="7689" width="18.6640625" style="1" customWidth="1"/>
    <col min="7690" max="7690" width="12.6640625" style="1" bestFit="1" customWidth="1"/>
    <col min="7691" max="7691" width="14.44140625" style="1" bestFit="1" customWidth="1"/>
    <col min="7692" max="7692" width="12.88671875" style="1" customWidth="1"/>
    <col min="7693" max="7693" width="1.6640625" style="1" customWidth="1"/>
    <col min="7694" max="7937" width="10.77734375" style="1"/>
    <col min="7938" max="7938" width="3.44140625" style="1" customWidth="1"/>
    <col min="7939" max="7939" width="16" style="1" customWidth="1"/>
    <col min="7940" max="7940" width="14.88671875" style="1" customWidth="1"/>
    <col min="7941" max="7941" width="12.6640625" style="1" bestFit="1" customWidth="1"/>
    <col min="7942" max="7942" width="12.33203125" style="1" customWidth="1"/>
    <col min="7943" max="7943" width="1.88671875" style="1" customWidth="1"/>
    <col min="7944" max="7944" width="10.77734375" style="1"/>
    <col min="7945" max="7945" width="18.6640625" style="1" customWidth="1"/>
    <col min="7946" max="7946" width="12.6640625" style="1" bestFit="1" customWidth="1"/>
    <col min="7947" max="7947" width="14.44140625" style="1" bestFit="1" customWidth="1"/>
    <col min="7948" max="7948" width="12.88671875" style="1" customWidth="1"/>
    <col min="7949" max="7949" width="1.6640625" style="1" customWidth="1"/>
    <col min="7950" max="8193" width="10.77734375" style="1"/>
    <col min="8194" max="8194" width="3.44140625" style="1" customWidth="1"/>
    <col min="8195" max="8195" width="16" style="1" customWidth="1"/>
    <col min="8196" max="8196" width="14.88671875" style="1" customWidth="1"/>
    <col min="8197" max="8197" width="12.6640625" style="1" bestFit="1" customWidth="1"/>
    <col min="8198" max="8198" width="12.33203125" style="1" customWidth="1"/>
    <col min="8199" max="8199" width="1.88671875" style="1" customWidth="1"/>
    <col min="8200" max="8200" width="10.77734375" style="1"/>
    <col min="8201" max="8201" width="18.6640625" style="1" customWidth="1"/>
    <col min="8202" max="8202" width="12.6640625" style="1" bestFit="1" customWidth="1"/>
    <col min="8203" max="8203" width="14.44140625" style="1" bestFit="1" customWidth="1"/>
    <col min="8204" max="8204" width="12.88671875" style="1" customWidth="1"/>
    <col min="8205" max="8205" width="1.6640625" style="1" customWidth="1"/>
    <col min="8206" max="8449" width="10.77734375" style="1"/>
    <col min="8450" max="8450" width="3.44140625" style="1" customWidth="1"/>
    <col min="8451" max="8451" width="16" style="1" customWidth="1"/>
    <col min="8452" max="8452" width="14.88671875" style="1" customWidth="1"/>
    <col min="8453" max="8453" width="12.6640625" style="1" bestFit="1" customWidth="1"/>
    <col min="8454" max="8454" width="12.33203125" style="1" customWidth="1"/>
    <col min="8455" max="8455" width="1.88671875" style="1" customWidth="1"/>
    <col min="8456" max="8456" width="10.77734375" style="1"/>
    <col min="8457" max="8457" width="18.6640625" style="1" customWidth="1"/>
    <col min="8458" max="8458" width="12.6640625" style="1" bestFit="1" customWidth="1"/>
    <col min="8459" max="8459" width="14.44140625" style="1" bestFit="1" customWidth="1"/>
    <col min="8460" max="8460" width="12.88671875" style="1" customWidth="1"/>
    <col min="8461" max="8461" width="1.6640625" style="1" customWidth="1"/>
    <col min="8462" max="8705" width="10.77734375" style="1"/>
    <col min="8706" max="8706" width="3.44140625" style="1" customWidth="1"/>
    <col min="8707" max="8707" width="16" style="1" customWidth="1"/>
    <col min="8708" max="8708" width="14.88671875" style="1" customWidth="1"/>
    <col min="8709" max="8709" width="12.6640625" style="1" bestFit="1" customWidth="1"/>
    <col min="8710" max="8710" width="12.33203125" style="1" customWidth="1"/>
    <col min="8711" max="8711" width="1.88671875" style="1" customWidth="1"/>
    <col min="8712" max="8712" width="10.77734375" style="1"/>
    <col min="8713" max="8713" width="18.6640625" style="1" customWidth="1"/>
    <col min="8714" max="8714" width="12.6640625" style="1" bestFit="1" customWidth="1"/>
    <col min="8715" max="8715" width="14.44140625" style="1" bestFit="1" customWidth="1"/>
    <col min="8716" max="8716" width="12.88671875" style="1" customWidth="1"/>
    <col min="8717" max="8717" width="1.6640625" style="1" customWidth="1"/>
    <col min="8718" max="8961" width="10.77734375" style="1"/>
    <col min="8962" max="8962" width="3.44140625" style="1" customWidth="1"/>
    <col min="8963" max="8963" width="16" style="1" customWidth="1"/>
    <col min="8964" max="8964" width="14.88671875" style="1" customWidth="1"/>
    <col min="8965" max="8965" width="12.6640625" style="1" bestFit="1" customWidth="1"/>
    <col min="8966" max="8966" width="12.33203125" style="1" customWidth="1"/>
    <col min="8967" max="8967" width="1.88671875" style="1" customWidth="1"/>
    <col min="8968" max="8968" width="10.77734375" style="1"/>
    <col min="8969" max="8969" width="18.6640625" style="1" customWidth="1"/>
    <col min="8970" max="8970" width="12.6640625" style="1" bestFit="1" customWidth="1"/>
    <col min="8971" max="8971" width="14.44140625" style="1" bestFit="1" customWidth="1"/>
    <col min="8972" max="8972" width="12.88671875" style="1" customWidth="1"/>
    <col min="8973" max="8973" width="1.6640625" style="1" customWidth="1"/>
    <col min="8974" max="9217" width="10.77734375" style="1"/>
    <col min="9218" max="9218" width="3.44140625" style="1" customWidth="1"/>
    <col min="9219" max="9219" width="16" style="1" customWidth="1"/>
    <col min="9220" max="9220" width="14.88671875" style="1" customWidth="1"/>
    <col min="9221" max="9221" width="12.6640625" style="1" bestFit="1" customWidth="1"/>
    <col min="9222" max="9222" width="12.33203125" style="1" customWidth="1"/>
    <col min="9223" max="9223" width="1.88671875" style="1" customWidth="1"/>
    <col min="9224" max="9224" width="10.77734375" style="1"/>
    <col min="9225" max="9225" width="18.6640625" style="1" customWidth="1"/>
    <col min="9226" max="9226" width="12.6640625" style="1" bestFit="1" customWidth="1"/>
    <col min="9227" max="9227" width="14.44140625" style="1" bestFit="1" customWidth="1"/>
    <col min="9228" max="9228" width="12.88671875" style="1" customWidth="1"/>
    <col min="9229" max="9229" width="1.6640625" style="1" customWidth="1"/>
    <col min="9230" max="9473" width="10.77734375" style="1"/>
    <col min="9474" max="9474" width="3.44140625" style="1" customWidth="1"/>
    <col min="9475" max="9475" width="16" style="1" customWidth="1"/>
    <col min="9476" max="9476" width="14.88671875" style="1" customWidth="1"/>
    <col min="9477" max="9477" width="12.6640625" style="1" bestFit="1" customWidth="1"/>
    <col min="9478" max="9478" width="12.33203125" style="1" customWidth="1"/>
    <col min="9479" max="9479" width="1.88671875" style="1" customWidth="1"/>
    <col min="9480" max="9480" width="10.77734375" style="1"/>
    <col min="9481" max="9481" width="18.6640625" style="1" customWidth="1"/>
    <col min="9482" max="9482" width="12.6640625" style="1" bestFit="1" customWidth="1"/>
    <col min="9483" max="9483" width="14.44140625" style="1" bestFit="1" customWidth="1"/>
    <col min="9484" max="9484" width="12.88671875" style="1" customWidth="1"/>
    <col min="9485" max="9485" width="1.6640625" style="1" customWidth="1"/>
    <col min="9486" max="9729" width="10.77734375" style="1"/>
    <col min="9730" max="9730" width="3.44140625" style="1" customWidth="1"/>
    <col min="9731" max="9731" width="16" style="1" customWidth="1"/>
    <col min="9732" max="9732" width="14.88671875" style="1" customWidth="1"/>
    <col min="9733" max="9733" width="12.6640625" style="1" bestFit="1" customWidth="1"/>
    <col min="9734" max="9734" width="12.33203125" style="1" customWidth="1"/>
    <col min="9735" max="9735" width="1.88671875" style="1" customWidth="1"/>
    <col min="9736" max="9736" width="10.77734375" style="1"/>
    <col min="9737" max="9737" width="18.6640625" style="1" customWidth="1"/>
    <col min="9738" max="9738" width="12.6640625" style="1" bestFit="1" customWidth="1"/>
    <col min="9739" max="9739" width="14.44140625" style="1" bestFit="1" customWidth="1"/>
    <col min="9740" max="9740" width="12.88671875" style="1" customWidth="1"/>
    <col min="9741" max="9741" width="1.6640625" style="1" customWidth="1"/>
    <col min="9742" max="9985" width="10.77734375" style="1"/>
    <col min="9986" max="9986" width="3.44140625" style="1" customWidth="1"/>
    <col min="9987" max="9987" width="16" style="1" customWidth="1"/>
    <col min="9988" max="9988" width="14.88671875" style="1" customWidth="1"/>
    <col min="9989" max="9989" width="12.6640625" style="1" bestFit="1" customWidth="1"/>
    <col min="9990" max="9990" width="12.33203125" style="1" customWidth="1"/>
    <col min="9991" max="9991" width="1.88671875" style="1" customWidth="1"/>
    <col min="9992" max="9992" width="10.77734375" style="1"/>
    <col min="9993" max="9993" width="18.6640625" style="1" customWidth="1"/>
    <col min="9994" max="9994" width="12.6640625" style="1" bestFit="1" customWidth="1"/>
    <col min="9995" max="9995" width="14.44140625" style="1" bestFit="1" customWidth="1"/>
    <col min="9996" max="9996" width="12.88671875" style="1" customWidth="1"/>
    <col min="9997" max="9997" width="1.6640625" style="1" customWidth="1"/>
    <col min="9998" max="10241" width="10.77734375" style="1"/>
    <col min="10242" max="10242" width="3.44140625" style="1" customWidth="1"/>
    <col min="10243" max="10243" width="16" style="1" customWidth="1"/>
    <col min="10244" max="10244" width="14.88671875" style="1" customWidth="1"/>
    <col min="10245" max="10245" width="12.6640625" style="1" bestFit="1" customWidth="1"/>
    <col min="10246" max="10246" width="12.33203125" style="1" customWidth="1"/>
    <col min="10247" max="10247" width="1.88671875" style="1" customWidth="1"/>
    <col min="10248" max="10248" width="10.77734375" style="1"/>
    <col min="10249" max="10249" width="18.6640625" style="1" customWidth="1"/>
    <col min="10250" max="10250" width="12.6640625" style="1" bestFit="1" customWidth="1"/>
    <col min="10251" max="10251" width="14.44140625" style="1" bestFit="1" customWidth="1"/>
    <col min="10252" max="10252" width="12.88671875" style="1" customWidth="1"/>
    <col min="10253" max="10253" width="1.6640625" style="1" customWidth="1"/>
    <col min="10254" max="10497" width="10.77734375" style="1"/>
    <col min="10498" max="10498" width="3.44140625" style="1" customWidth="1"/>
    <col min="10499" max="10499" width="16" style="1" customWidth="1"/>
    <col min="10500" max="10500" width="14.88671875" style="1" customWidth="1"/>
    <col min="10501" max="10501" width="12.6640625" style="1" bestFit="1" customWidth="1"/>
    <col min="10502" max="10502" width="12.33203125" style="1" customWidth="1"/>
    <col min="10503" max="10503" width="1.88671875" style="1" customWidth="1"/>
    <col min="10504" max="10504" width="10.77734375" style="1"/>
    <col min="10505" max="10505" width="18.6640625" style="1" customWidth="1"/>
    <col min="10506" max="10506" width="12.6640625" style="1" bestFit="1" customWidth="1"/>
    <col min="10507" max="10507" width="14.44140625" style="1" bestFit="1" customWidth="1"/>
    <col min="10508" max="10508" width="12.88671875" style="1" customWidth="1"/>
    <col min="10509" max="10509" width="1.6640625" style="1" customWidth="1"/>
    <col min="10510" max="10753" width="10.77734375" style="1"/>
    <col min="10754" max="10754" width="3.44140625" style="1" customWidth="1"/>
    <col min="10755" max="10755" width="16" style="1" customWidth="1"/>
    <col min="10756" max="10756" width="14.88671875" style="1" customWidth="1"/>
    <col min="10757" max="10757" width="12.6640625" style="1" bestFit="1" customWidth="1"/>
    <col min="10758" max="10758" width="12.33203125" style="1" customWidth="1"/>
    <col min="10759" max="10759" width="1.88671875" style="1" customWidth="1"/>
    <col min="10760" max="10760" width="10.77734375" style="1"/>
    <col min="10761" max="10761" width="18.6640625" style="1" customWidth="1"/>
    <col min="10762" max="10762" width="12.6640625" style="1" bestFit="1" customWidth="1"/>
    <col min="10763" max="10763" width="14.44140625" style="1" bestFit="1" customWidth="1"/>
    <col min="10764" max="10764" width="12.88671875" style="1" customWidth="1"/>
    <col min="10765" max="10765" width="1.6640625" style="1" customWidth="1"/>
    <col min="10766" max="11009" width="10.77734375" style="1"/>
    <col min="11010" max="11010" width="3.44140625" style="1" customWidth="1"/>
    <col min="11011" max="11011" width="16" style="1" customWidth="1"/>
    <col min="11012" max="11012" width="14.88671875" style="1" customWidth="1"/>
    <col min="11013" max="11013" width="12.6640625" style="1" bestFit="1" customWidth="1"/>
    <col min="11014" max="11014" width="12.33203125" style="1" customWidth="1"/>
    <col min="11015" max="11015" width="1.88671875" style="1" customWidth="1"/>
    <col min="11016" max="11016" width="10.77734375" style="1"/>
    <col min="11017" max="11017" width="18.6640625" style="1" customWidth="1"/>
    <col min="11018" max="11018" width="12.6640625" style="1" bestFit="1" customWidth="1"/>
    <col min="11019" max="11019" width="14.44140625" style="1" bestFit="1" customWidth="1"/>
    <col min="11020" max="11020" width="12.88671875" style="1" customWidth="1"/>
    <col min="11021" max="11021" width="1.6640625" style="1" customWidth="1"/>
    <col min="11022" max="11265" width="10.77734375" style="1"/>
    <col min="11266" max="11266" width="3.44140625" style="1" customWidth="1"/>
    <col min="11267" max="11267" width="16" style="1" customWidth="1"/>
    <col min="11268" max="11268" width="14.88671875" style="1" customWidth="1"/>
    <col min="11269" max="11269" width="12.6640625" style="1" bestFit="1" customWidth="1"/>
    <col min="11270" max="11270" width="12.33203125" style="1" customWidth="1"/>
    <col min="11271" max="11271" width="1.88671875" style="1" customWidth="1"/>
    <col min="11272" max="11272" width="10.77734375" style="1"/>
    <col min="11273" max="11273" width="18.6640625" style="1" customWidth="1"/>
    <col min="11274" max="11274" width="12.6640625" style="1" bestFit="1" customWidth="1"/>
    <col min="11275" max="11275" width="14.44140625" style="1" bestFit="1" customWidth="1"/>
    <col min="11276" max="11276" width="12.88671875" style="1" customWidth="1"/>
    <col min="11277" max="11277" width="1.6640625" style="1" customWidth="1"/>
    <col min="11278" max="11521" width="10.77734375" style="1"/>
    <col min="11522" max="11522" width="3.44140625" style="1" customWidth="1"/>
    <col min="11523" max="11523" width="16" style="1" customWidth="1"/>
    <col min="11524" max="11524" width="14.88671875" style="1" customWidth="1"/>
    <col min="11525" max="11525" width="12.6640625" style="1" bestFit="1" customWidth="1"/>
    <col min="11526" max="11526" width="12.33203125" style="1" customWidth="1"/>
    <col min="11527" max="11527" width="1.88671875" style="1" customWidth="1"/>
    <col min="11528" max="11528" width="10.77734375" style="1"/>
    <col min="11529" max="11529" width="18.6640625" style="1" customWidth="1"/>
    <col min="11530" max="11530" width="12.6640625" style="1" bestFit="1" customWidth="1"/>
    <col min="11531" max="11531" width="14.44140625" style="1" bestFit="1" customWidth="1"/>
    <col min="11532" max="11532" width="12.88671875" style="1" customWidth="1"/>
    <col min="11533" max="11533" width="1.6640625" style="1" customWidth="1"/>
    <col min="11534" max="11777" width="10.77734375" style="1"/>
    <col min="11778" max="11778" width="3.44140625" style="1" customWidth="1"/>
    <col min="11779" max="11779" width="16" style="1" customWidth="1"/>
    <col min="11780" max="11780" width="14.88671875" style="1" customWidth="1"/>
    <col min="11781" max="11781" width="12.6640625" style="1" bestFit="1" customWidth="1"/>
    <col min="11782" max="11782" width="12.33203125" style="1" customWidth="1"/>
    <col min="11783" max="11783" width="1.88671875" style="1" customWidth="1"/>
    <col min="11784" max="11784" width="10.77734375" style="1"/>
    <col min="11785" max="11785" width="18.6640625" style="1" customWidth="1"/>
    <col min="11786" max="11786" width="12.6640625" style="1" bestFit="1" customWidth="1"/>
    <col min="11787" max="11787" width="14.44140625" style="1" bestFit="1" customWidth="1"/>
    <col min="11788" max="11788" width="12.88671875" style="1" customWidth="1"/>
    <col min="11789" max="11789" width="1.6640625" style="1" customWidth="1"/>
    <col min="11790" max="12033" width="10.77734375" style="1"/>
    <col min="12034" max="12034" width="3.44140625" style="1" customWidth="1"/>
    <col min="12035" max="12035" width="16" style="1" customWidth="1"/>
    <col min="12036" max="12036" width="14.88671875" style="1" customWidth="1"/>
    <col min="12037" max="12037" width="12.6640625" style="1" bestFit="1" customWidth="1"/>
    <col min="12038" max="12038" width="12.33203125" style="1" customWidth="1"/>
    <col min="12039" max="12039" width="1.88671875" style="1" customWidth="1"/>
    <col min="12040" max="12040" width="10.77734375" style="1"/>
    <col min="12041" max="12041" width="18.6640625" style="1" customWidth="1"/>
    <col min="12042" max="12042" width="12.6640625" style="1" bestFit="1" customWidth="1"/>
    <col min="12043" max="12043" width="14.44140625" style="1" bestFit="1" customWidth="1"/>
    <col min="12044" max="12044" width="12.88671875" style="1" customWidth="1"/>
    <col min="12045" max="12045" width="1.6640625" style="1" customWidth="1"/>
    <col min="12046" max="12289" width="10.77734375" style="1"/>
    <col min="12290" max="12290" width="3.44140625" style="1" customWidth="1"/>
    <col min="12291" max="12291" width="16" style="1" customWidth="1"/>
    <col min="12292" max="12292" width="14.88671875" style="1" customWidth="1"/>
    <col min="12293" max="12293" width="12.6640625" style="1" bestFit="1" customWidth="1"/>
    <col min="12294" max="12294" width="12.33203125" style="1" customWidth="1"/>
    <col min="12295" max="12295" width="1.88671875" style="1" customWidth="1"/>
    <col min="12296" max="12296" width="10.77734375" style="1"/>
    <col min="12297" max="12297" width="18.6640625" style="1" customWidth="1"/>
    <col min="12298" max="12298" width="12.6640625" style="1" bestFit="1" customWidth="1"/>
    <col min="12299" max="12299" width="14.44140625" style="1" bestFit="1" customWidth="1"/>
    <col min="12300" max="12300" width="12.88671875" style="1" customWidth="1"/>
    <col min="12301" max="12301" width="1.6640625" style="1" customWidth="1"/>
    <col min="12302" max="12545" width="10.77734375" style="1"/>
    <col min="12546" max="12546" width="3.44140625" style="1" customWidth="1"/>
    <col min="12547" max="12547" width="16" style="1" customWidth="1"/>
    <col min="12548" max="12548" width="14.88671875" style="1" customWidth="1"/>
    <col min="12549" max="12549" width="12.6640625" style="1" bestFit="1" customWidth="1"/>
    <col min="12550" max="12550" width="12.33203125" style="1" customWidth="1"/>
    <col min="12551" max="12551" width="1.88671875" style="1" customWidth="1"/>
    <col min="12552" max="12552" width="10.77734375" style="1"/>
    <col min="12553" max="12553" width="18.6640625" style="1" customWidth="1"/>
    <col min="12554" max="12554" width="12.6640625" style="1" bestFit="1" customWidth="1"/>
    <col min="12555" max="12555" width="14.44140625" style="1" bestFit="1" customWidth="1"/>
    <col min="12556" max="12556" width="12.88671875" style="1" customWidth="1"/>
    <col min="12557" max="12557" width="1.6640625" style="1" customWidth="1"/>
    <col min="12558" max="12801" width="10.77734375" style="1"/>
    <col min="12802" max="12802" width="3.44140625" style="1" customWidth="1"/>
    <col min="12803" max="12803" width="16" style="1" customWidth="1"/>
    <col min="12804" max="12804" width="14.88671875" style="1" customWidth="1"/>
    <col min="12805" max="12805" width="12.6640625" style="1" bestFit="1" customWidth="1"/>
    <col min="12806" max="12806" width="12.33203125" style="1" customWidth="1"/>
    <col min="12807" max="12807" width="1.88671875" style="1" customWidth="1"/>
    <col min="12808" max="12808" width="10.77734375" style="1"/>
    <col min="12809" max="12809" width="18.6640625" style="1" customWidth="1"/>
    <col min="12810" max="12810" width="12.6640625" style="1" bestFit="1" customWidth="1"/>
    <col min="12811" max="12811" width="14.44140625" style="1" bestFit="1" customWidth="1"/>
    <col min="12812" max="12812" width="12.88671875" style="1" customWidth="1"/>
    <col min="12813" max="12813" width="1.6640625" style="1" customWidth="1"/>
    <col min="12814" max="13057" width="10.77734375" style="1"/>
    <col min="13058" max="13058" width="3.44140625" style="1" customWidth="1"/>
    <col min="13059" max="13059" width="16" style="1" customWidth="1"/>
    <col min="13060" max="13060" width="14.88671875" style="1" customWidth="1"/>
    <col min="13061" max="13061" width="12.6640625" style="1" bestFit="1" customWidth="1"/>
    <col min="13062" max="13062" width="12.33203125" style="1" customWidth="1"/>
    <col min="13063" max="13063" width="1.88671875" style="1" customWidth="1"/>
    <col min="13064" max="13064" width="10.77734375" style="1"/>
    <col min="13065" max="13065" width="18.6640625" style="1" customWidth="1"/>
    <col min="13066" max="13066" width="12.6640625" style="1" bestFit="1" customWidth="1"/>
    <col min="13067" max="13067" width="14.44140625" style="1" bestFit="1" customWidth="1"/>
    <col min="13068" max="13068" width="12.88671875" style="1" customWidth="1"/>
    <col min="13069" max="13069" width="1.6640625" style="1" customWidth="1"/>
    <col min="13070" max="13313" width="10.77734375" style="1"/>
    <col min="13314" max="13314" width="3.44140625" style="1" customWidth="1"/>
    <col min="13315" max="13315" width="16" style="1" customWidth="1"/>
    <col min="13316" max="13316" width="14.88671875" style="1" customWidth="1"/>
    <col min="13317" max="13317" width="12.6640625" style="1" bestFit="1" customWidth="1"/>
    <col min="13318" max="13318" width="12.33203125" style="1" customWidth="1"/>
    <col min="13319" max="13319" width="1.88671875" style="1" customWidth="1"/>
    <col min="13320" max="13320" width="10.77734375" style="1"/>
    <col min="13321" max="13321" width="18.6640625" style="1" customWidth="1"/>
    <col min="13322" max="13322" width="12.6640625" style="1" bestFit="1" customWidth="1"/>
    <col min="13323" max="13323" width="14.44140625" style="1" bestFit="1" customWidth="1"/>
    <col min="13324" max="13324" width="12.88671875" style="1" customWidth="1"/>
    <col min="13325" max="13325" width="1.6640625" style="1" customWidth="1"/>
    <col min="13326" max="13569" width="10.77734375" style="1"/>
    <col min="13570" max="13570" width="3.44140625" style="1" customWidth="1"/>
    <col min="13571" max="13571" width="16" style="1" customWidth="1"/>
    <col min="13572" max="13572" width="14.88671875" style="1" customWidth="1"/>
    <col min="13573" max="13573" width="12.6640625" style="1" bestFit="1" customWidth="1"/>
    <col min="13574" max="13574" width="12.33203125" style="1" customWidth="1"/>
    <col min="13575" max="13575" width="1.88671875" style="1" customWidth="1"/>
    <col min="13576" max="13576" width="10.77734375" style="1"/>
    <col min="13577" max="13577" width="18.6640625" style="1" customWidth="1"/>
    <col min="13578" max="13578" width="12.6640625" style="1" bestFit="1" customWidth="1"/>
    <col min="13579" max="13579" width="14.44140625" style="1" bestFit="1" customWidth="1"/>
    <col min="13580" max="13580" width="12.88671875" style="1" customWidth="1"/>
    <col min="13581" max="13581" width="1.6640625" style="1" customWidth="1"/>
    <col min="13582" max="13825" width="10.77734375" style="1"/>
    <col min="13826" max="13826" width="3.44140625" style="1" customWidth="1"/>
    <col min="13827" max="13827" width="16" style="1" customWidth="1"/>
    <col min="13828" max="13828" width="14.88671875" style="1" customWidth="1"/>
    <col min="13829" max="13829" width="12.6640625" style="1" bestFit="1" customWidth="1"/>
    <col min="13830" max="13830" width="12.33203125" style="1" customWidth="1"/>
    <col min="13831" max="13831" width="1.88671875" style="1" customWidth="1"/>
    <col min="13832" max="13832" width="10.77734375" style="1"/>
    <col min="13833" max="13833" width="18.6640625" style="1" customWidth="1"/>
    <col min="13834" max="13834" width="12.6640625" style="1" bestFit="1" customWidth="1"/>
    <col min="13835" max="13835" width="14.44140625" style="1" bestFit="1" customWidth="1"/>
    <col min="13836" max="13836" width="12.88671875" style="1" customWidth="1"/>
    <col min="13837" max="13837" width="1.6640625" style="1" customWidth="1"/>
    <col min="13838" max="14081" width="10.77734375" style="1"/>
    <col min="14082" max="14082" width="3.44140625" style="1" customWidth="1"/>
    <col min="14083" max="14083" width="16" style="1" customWidth="1"/>
    <col min="14084" max="14084" width="14.88671875" style="1" customWidth="1"/>
    <col min="14085" max="14085" width="12.6640625" style="1" bestFit="1" customWidth="1"/>
    <col min="14086" max="14086" width="12.33203125" style="1" customWidth="1"/>
    <col min="14087" max="14087" width="1.88671875" style="1" customWidth="1"/>
    <col min="14088" max="14088" width="10.77734375" style="1"/>
    <col min="14089" max="14089" width="18.6640625" style="1" customWidth="1"/>
    <col min="14090" max="14090" width="12.6640625" style="1" bestFit="1" customWidth="1"/>
    <col min="14091" max="14091" width="14.44140625" style="1" bestFit="1" customWidth="1"/>
    <col min="14092" max="14092" width="12.88671875" style="1" customWidth="1"/>
    <col min="14093" max="14093" width="1.6640625" style="1" customWidth="1"/>
    <col min="14094" max="14337" width="10.77734375" style="1"/>
    <col min="14338" max="14338" width="3.44140625" style="1" customWidth="1"/>
    <col min="14339" max="14339" width="16" style="1" customWidth="1"/>
    <col min="14340" max="14340" width="14.88671875" style="1" customWidth="1"/>
    <col min="14341" max="14341" width="12.6640625" style="1" bestFit="1" customWidth="1"/>
    <col min="14342" max="14342" width="12.33203125" style="1" customWidth="1"/>
    <col min="14343" max="14343" width="1.88671875" style="1" customWidth="1"/>
    <col min="14344" max="14344" width="10.77734375" style="1"/>
    <col min="14345" max="14345" width="18.6640625" style="1" customWidth="1"/>
    <col min="14346" max="14346" width="12.6640625" style="1" bestFit="1" customWidth="1"/>
    <col min="14347" max="14347" width="14.44140625" style="1" bestFit="1" customWidth="1"/>
    <col min="14348" max="14348" width="12.88671875" style="1" customWidth="1"/>
    <col min="14349" max="14349" width="1.6640625" style="1" customWidth="1"/>
    <col min="14350" max="14593" width="10.77734375" style="1"/>
    <col min="14594" max="14594" width="3.44140625" style="1" customWidth="1"/>
    <col min="14595" max="14595" width="16" style="1" customWidth="1"/>
    <col min="14596" max="14596" width="14.88671875" style="1" customWidth="1"/>
    <col min="14597" max="14597" width="12.6640625" style="1" bestFit="1" customWidth="1"/>
    <col min="14598" max="14598" width="12.33203125" style="1" customWidth="1"/>
    <col min="14599" max="14599" width="1.88671875" style="1" customWidth="1"/>
    <col min="14600" max="14600" width="10.77734375" style="1"/>
    <col min="14601" max="14601" width="18.6640625" style="1" customWidth="1"/>
    <col min="14602" max="14602" width="12.6640625" style="1" bestFit="1" customWidth="1"/>
    <col min="14603" max="14603" width="14.44140625" style="1" bestFit="1" customWidth="1"/>
    <col min="14604" max="14604" width="12.88671875" style="1" customWidth="1"/>
    <col min="14605" max="14605" width="1.6640625" style="1" customWidth="1"/>
    <col min="14606" max="14849" width="10.77734375" style="1"/>
    <col min="14850" max="14850" width="3.44140625" style="1" customWidth="1"/>
    <col min="14851" max="14851" width="16" style="1" customWidth="1"/>
    <col min="14852" max="14852" width="14.88671875" style="1" customWidth="1"/>
    <col min="14853" max="14853" width="12.6640625" style="1" bestFit="1" customWidth="1"/>
    <col min="14854" max="14854" width="12.33203125" style="1" customWidth="1"/>
    <col min="14855" max="14855" width="1.88671875" style="1" customWidth="1"/>
    <col min="14856" max="14856" width="10.77734375" style="1"/>
    <col min="14857" max="14857" width="18.6640625" style="1" customWidth="1"/>
    <col min="14858" max="14858" width="12.6640625" style="1" bestFit="1" customWidth="1"/>
    <col min="14859" max="14859" width="14.44140625" style="1" bestFit="1" customWidth="1"/>
    <col min="14860" max="14860" width="12.88671875" style="1" customWidth="1"/>
    <col min="14861" max="14861" width="1.6640625" style="1" customWidth="1"/>
    <col min="14862" max="15105" width="10.77734375" style="1"/>
    <col min="15106" max="15106" width="3.44140625" style="1" customWidth="1"/>
    <col min="15107" max="15107" width="16" style="1" customWidth="1"/>
    <col min="15108" max="15108" width="14.88671875" style="1" customWidth="1"/>
    <col min="15109" max="15109" width="12.6640625" style="1" bestFit="1" customWidth="1"/>
    <col min="15110" max="15110" width="12.33203125" style="1" customWidth="1"/>
    <col min="15111" max="15111" width="1.88671875" style="1" customWidth="1"/>
    <col min="15112" max="15112" width="10.77734375" style="1"/>
    <col min="15113" max="15113" width="18.6640625" style="1" customWidth="1"/>
    <col min="15114" max="15114" width="12.6640625" style="1" bestFit="1" customWidth="1"/>
    <col min="15115" max="15115" width="14.44140625" style="1" bestFit="1" customWidth="1"/>
    <col min="15116" max="15116" width="12.88671875" style="1" customWidth="1"/>
    <col min="15117" max="15117" width="1.6640625" style="1" customWidth="1"/>
    <col min="15118" max="15361" width="10.77734375" style="1"/>
    <col min="15362" max="15362" width="3.44140625" style="1" customWidth="1"/>
    <col min="15363" max="15363" width="16" style="1" customWidth="1"/>
    <col min="15364" max="15364" width="14.88671875" style="1" customWidth="1"/>
    <col min="15365" max="15365" width="12.6640625" style="1" bestFit="1" customWidth="1"/>
    <col min="15366" max="15366" width="12.33203125" style="1" customWidth="1"/>
    <col min="15367" max="15367" width="1.88671875" style="1" customWidth="1"/>
    <col min="15368" max="15368" width="10.77734375" style="1"/>
    <col min="15369" max="15369" width="18.6640625" style="1" customWidth="1"/>
    <col min="15370" max="15370" width="12.6640625" style="1" bestFit="1" customWidth="1"/>
    <col min="15371" max="15371" width="14.44140625" style="1" bestFit="1" customWidth="1"/>
    <col min="15372" max="15372" width="12.88671875" style="1" customWidth="1"/>
    <col min="15373" max="15373" width="1.6640625" style="1" customWidth="1"/>
    <col min="15374" max="15617" width="10.77734375" style="1"/>
    <col min="15618" max="15618" width="3.44140625" style="1" customWidth="1"/>
    <col min="15619" max="15619" width="16" style="1" customWidth="1"/>
    <col min="15620" max="15620" width="14.88671875" style="1" customWidth="1"/>
    <col min="15621" max="15621" width="12.6640625" style="1" bestFit="1" customWidth="1"/>
    <col min="15622" max="15622" width="12.33203125" style="1" customWidth="1"/>
    <col min="15623" max="15623" width="1.88671875" style="1" customWidth="1"/>
    <col min="15624" max="15624" width="10.77734375" style="1"/>
    <col min="15625" max="15625" width="18.6640625" style="1" customWidth="1"/>
    <col min="15626" max="15626" width="12.6640625" style="1" bestFit="1" customWidth="1"/>
    <col min="15627" max="15627" width="14.44140625" style="1" bestFit="1" customWidth="1"/>
    <col min="15628" max="15628" width="12.88671875" style="1" customWidth="1"/>
    <col min="15629" max="15629" width="1.6640625" style="1" customWidth="1"/>
    <col min="15630" max="15873" width="10.77734375" style="1"/>
    <col min="15874" max="15874" width="3.44140625" style="1" customWidth="1"/>
    <col min="15875" max="15875" width="16" style="1" customWidth="1"/>
    <col min="15876" max="15876" width="14.88671875" style="1" customWidth="1"/>
    <col min="15877" max="15877" width="12.6640625" style="1" bestFit="1" customWidth="1"/>
    <col min="15878" max="15878" width="12.33203125" style="1" customWidth="1"/>
    <col min="15879" max="15879" width="1.88671875" style="1" customWidth="1"/>
    <col min="15880" max="15880" width="10.77734375" style="1"/>
    <col min="15881" max="15881" width="18.6640625" style="1" customWidth="1"/>
    <col min="15882" max="15882" width="12.6640625" style="1" bestFit="1" customWidth="1"/>
    <col min="15883" max="15883" width="14.44140625" style="1" bestFit="1" customWidth="1"/>
    <col min="15884" max="15884" width="12.88671875" style="1" customWidth="1"/>
    <col min="15885" max="15885" width="1.6640625" style="1" customWidth="1"/>
    <col min="15886" max="16129" width="10.77734375" style="1"/>
    <col min="16130" max="16130" width="3.44140625" style="1" customWidth="1"/>
    <col min="16131" max="16131" width="16" style="1" customWidth="1"/>
    <col min="16132" max="16132" width="14.88671875" style="1" customWidth="1"/>
    <col min="16133" max="16133" width="12.6640625" style="1" bestFit="1" customWidth="1"/>
    <col min="16134" max="16134" width="12.33203125" style="1" customWidth="1"/>
    <col min="16135" max="16135" width="1.88671875" style="1" customWidth="1"/>
    <col min="16136" max="16136" width="10.77734375" style="1"/>
    <col min="16137" max="16137" width="18.6640625" style="1" customWidth="1"/>
    <col min="16138" max="16138" width="12.6640625" style="1" bestFit="1" customWidth="1"/>
    <col min="16139" max="16139" width="14.44140625" style="1" bestFit="1" customWidth="1"/>
    <col min="16140" max="16140" width="12.88671875" style="1" customWidth="1"/>
    <col min="16141" max="16141" width="1.6640625" style="1" customWidth="1"/>
    <col min="16142" max="16384" width="10.77734375" style="1"/>
  </cols>
  <sheetData>
    <row r="3" spans="2:18">
      <c r="D3" s="2"/>
      <c r="E3" s="2"/>
      <c r="F3" s="2"/>
    </row>
    <row r="4" spans="2:18">
      <c r="H4" s="180" t="s">
        <v>63</v>
      </c>
      <c r="I4" s="181"/>
      <c r="J4" s="181"/>
      <c r="K4" s="181"/>
      <c r="L4" s="182"/>
      <c r="P4" s="102"/>
    </row>
    <row r="5" spans="2:18">
      <c r="H5" s="183"/>
      <c r="I5" s="184"/>
      <c r="J5" s="184"/>
      <c r="K5" s="184"/>
      <c r="L5" s="185"/>
      <c r="R5" s="29"/>
    </row>
    <row r="6" spans="2:18">
      <c r="D6" s="2"/>
      <c r="E6" s="2"/>
      <c r="F6" s="2"/>
      <c r="H6" s="186"/>
      <c r="I6" s="187"/>
      <c r="J6" s="187"/>
      <c r="K6" s="187"/>
      <c r="L6" s="188"/>
      <c r="R6" s="29"/>
    </row>
    <row r="7" spans="2:18">
      <c r="R7" s="29"/>
    </row>
    <row r="8" spans="2:18" ht="12.75" customHeight="1">
      <c r="H8" s="189" t="s">
        <v>61</v>
      </c>
      <c r="I8" s="190"/>
      <c r="J8" s="190"/>
      <c r="K8" s="190" t="s">
        <v>1</v>
      </c>
      <c r="L8" s="193"/>
      <c r="R8" s="29"/>
    </row>
    <row r="9" spans="2:18" ht="12.75" customHeight="1">
      <c r="H9" s="191"/>
      <c r="I9" s="192"/>
      <c r="J9" s="192"/>
      <c r="K9" s="192"/>
      <c r="L9" s="194"/>
      <c r="R9" s="29"/>
    </row>
    <row r="10" spans="2:18">
      <c r="C10" s="3" t="s">
        <v>2</v>
      </c>
      <c r="D10" s="4" t="s">
        <v>3</v>
      </c>
      <c r="R10" s="29"/>
    </row>
    <row r="11" spans="2:18" ht="13.5" customHeight="1" thickBot="1">
      <c r="G11" s="5"/>
      <c r="M11" s="5"/>
    </row>
    <row r="12" spans="2:18">
      <c r="B12" s="6" t="s">
        <v>4</v>
      </c>
      <c r="C12" s="178"/>
      <c r="D12" s="178"/>
      <c r="E12" s="178"/>
      <c r="F12" s="179"/>
      <c r="H12" s="6" t="s">
        <v>5</v>
      </c>
      <c r="I12" s="178" t="s">
        <v>6</v>
      </c>
      <c r="J12" s="178"/>
      <c r="K12" s="179"/>
    </row>
    <row r="13" spans="2:18">
      <c r="B13" s="7" t="s">
        <v>7</v>
      </c>
      <c r="E13" s="98"/>
      <c r="F13" s="98"/>
      <c r="H13" s="7" t="s">
        <v>8</v>
      </c>
      <c r="I13" s="161"/>
      <c r="J13" s="161"/>
      <c r="K13" s="162"/>
    </row>
    <row r="14" spans="2:18" ht="13.8" thickBot="1">
      <c r="B14" s="8" t="s">
        <v>9</v>
      </c>
      <c r="C14" s="158"/>
      <c r="D14" s="159"/>
      <c r="E14" s="159"/>
      <c r="F14" s="160"/>
      <c r="H14" s="7" t="s">
        <v>10</v>
      </c>
      <c r="I14" s="161"/>
      <c r="J14" s="161"/>
      <c r="K14" s="162"/>
    </row>
    <row r="15" spans="2:18" ht="13.8" thickBot="1">
      <c r="B15" s="2"/>
      <c r="C15" s="9"/>
      <c r="D15" s="9"/>
      <c r="E15" s="9"/>
      <c r="F15" s="9"/>
      <c r="H15" s="7" t="s">
        <v>11</v>
      </c>
      <c r="I15" s="161"/>
      <c r="J15" s="161"/>
      <c r="K15" s="162"/>
    </row>
    <row r="16" spans="2:18" ht="13.8" thickBot="1">
      <c r="B16" s="163" t="s">
        <v>51</v>
      </c>
      <c r="C16" s="164"/>
      <c r="D16" s="97"/>
      <c r="H16" s="8"/>
      <c r="I16" s="165"/>
      <c r="J16" s="166"/>
      <c r="K16" s="167"/>
    </row>
    <row r="17" spans="2:17">
      <c r="B17" s="168" t="s">
        <v>12</v>
      </c>
      <c r="C17" s="161"/>
      <c r="D17" s="10"/>
      <c r="E17" s="1" t="s">
        <v>13</v>
      </c>
      <c r="H17" s="2"/>
      <c r="I17" s="161"/>
      <c r="J17" s="161"/>
      <c r="K17" s="161"/>
    </row>
    <row r="18" spans="2:17">
      <c r="B18" s="168" t="s">
        <v>14</v>
      </c>
      <c r="C18" s="161"/>
      <c r="D18" s="10"/>
      <c r="E18" s="1" t="s">
        <v>15</v>
      </c>
      <c r="H18" s="11" t="s">
        <v>43</v>
      </c>
      <c r="I18" s="12"/>
      <c r="K18" s="13" t="s">
        <v>16</v>
      </c>
      <c r="L18" s="14">
        <v>6900</v>
      </c>
      <c r="P18" s="1" t="s">
        <v>17</v>
      </c>
    </row>
    <row r="19" spans="2:17" ht="13.8" thickBot="1">
      <c r="B19" s="169" t="s">
        <v>48</v>
      </c>
      <c r="C19" s="159"/>
      <c r="D19" s="15"/>
      <c r="E19" s="1" t="s">
        <v>49</v>
      </c>
      <c r="H19" s="11" t="s">
        <v>18</v>
      </c>
      <c r="I19" s="16"/>
      <c r="K19" s="13" t="s">
        <v>19</v>
      </c>
      <c r="L19" s="14">
        <v>7000</v>
      </c>
    </row>
    <row r="20" spans="2:17">
      <c r="H20" s="11" t="s">
        <v>20</v>
      </c>
      <c r="I20" s="17"/>
      <c r="L20" s="18"/>
    </row>
    <row r="21" spans="2:17">
      <c r="B21" s="19" t="s">
        <v>21</v>
      </c>
      <c r="D21" s="170"/>
      <c r="E21" s="171"/>
      <c r="F21" s="172"/>
      <c r="I21" s="20"/>
    </row>
    <row r="22" spans="2:17" ht="13.5" customHeight="1">
      <c r="B22" s="173" t="s">
        <v>22</v>
      </c>
      <c r="C22" s="173"/>
      <c r="D22" s="173"/>
      <c r="E22" s="173"/>
      <c r="F22" s="173"/>
      <c r="H22" s="176" t="s">
        <v>23</v>
      </c>
      <c r="I22" s="176"/>
      <c r="J22" s="176"/>
      <c r="K22" s="176"/>
      <c r="L22" s="176"/>
    </row>
    <row r="23" spans="2:17" ht="14.25" customHeight="1" thickBot="1">
      <c r="B23" s="174"/>
      <c r="C23" s="174"/>
      <c r="D23" s="175"/>
      <c r="E23" s="175"/>
      <c r="F23" s="175"/>
      <c r="H23" s="177"/>
      <c r="I23" s="177"/>
      <c r="J23" s="177"/>
      <c r="K23" s="177"/>
      <c r="L23" s="177"/>
    </row>
    <row r="24" spans="2:17" ht="13.5" customHeight="1" thickTop="1" thickBot="1">
      <c r="B24" s="155" t="s">
        <v>24</v>
      </c>
      <c r="C24" s="156"/>
      <c r="D24" s="21" t="s">
        <v>25</v>
      </c>
      <c r="E24" s="107" t="s">
        <v>52</v>
      </c>
      <c r="F24" s="22" t="s">
        <v>26</v>
      </c>
      <c r="H24" s="157" t="s">
        <v>24</v>
      </c>
      <c r="I24" s="157"/>
      <c r="J24" s="23" t="s">
        <v>25</v>
      </c>
      <c r="K24" s="22" t="s">
        <v>26</v>
      </c>
      <c r="L24" s="24" t="s">
        <v>27</v>
      </c>
      <c r="M24" s="25"/>
    </row>
    <row r="25" spans="2:17">
      <c r="B25" s="139" t="s">
        <v>47</v>
      </c>
      <c r="C25" s="140"/>
      <c r="D25" s="26"/>
      <c r="E25" s="101"/>
      <c r="F25" s="32">
        <v>0</v>
      </c>
      <c r="G25" s="9"/>
      <c r="H25" s="153" t="s">
        <v>46</v>
      </c>
      <c r="I25" s="154"/>
      <c r="J25" s="99"/>
      <c r="K25" s="122"/>
      <c r="L25" s="27">
        <f t="shared" ref="L25:L30" si="0">K25-E25</f>
        <v>0</v>
      </c>
      <c r="M25" s="28"/>
      <c r="N25" s="29"/>
      <c r="O25" s="29"/>
      <c r="Q25" s="123"/>
    </row>
    <row r="26" spans="2:17">
      <c r="B26" s="130" t="s">
        <v>28</v>
      </c>
      <c r="C26" s="131"/>
      <c r="D26" s="30"/>
      <c r="E26" s="125"/>
      <c r="F26" s="32">
        <v>0</v>
      </c>
      <c r="G26" s="25"/>
      <c r="H26" s="144" t="s">
        <v>28</v>
      </c>
      <c r="I26" s="145"/>
      <c r="J26" s="100"/>
      <c r="K26" s="121"/>
      <c r="L26" s="32">
        <f t="shared" si="0"/>
        <v>0</v>
      </c>
      <c r="M26" s="28"/>
    </row>
    <row r="27" spans="2:17">
      <c r="B27" s="130" t="s">
        <v>29</v>
      </c>
      <c r="C27" s="131"/>
      <c r="D27" s="30"/>
      <c r="E27" s="125"/>
      <c r="F27" s="32">
        <v>0</v>
      </c>
      <c r="G27" s="25"/>
      <c r="H27" s="144" t="s">
        <v>29</v>
      </c>
      <c r="I27" s="145"/>
      <c r="J27" s="100"/>
      <c r="K27" s="121"/>
      <c r="L27" s="32">
        <f t="shared" si="0"/>
        <v>0</v>
      </c>
      <c r="M27" s="28"/>
    </row>
    <row r="28" spans="2:17">
      <c r="B28" s="130" t="s">
        <v>42</v>
      </c>
      <c r="C28" s="131"/>
      <c r="D28" s="30"/>
      <c r="E28" s="32"/>
      <c r="F28" s="32">
        <v>0</v>
      </c>
      <c r="G28" s="25"/>
      <c r="H28" s="95" t="s">
        <v>60</v>
      </c>
      <c r="I28" s="96"/>
      <c r="J28" s="100"/>
      <c r="K28" s="121"/>
      <c r="L28" s="32">
        <f t="shared" si="0"/>
        <v>0</v>
      </c>
      <c r="M28" s="28"/>
    </row>
    <row r="29" spans="2:17">
      <c r="B29" s="144" t="s">
        <v>57</v>
      </c>
      <c r="C29" s="145"/>
      <c r="D29" s="30"/>
      <c r="E29" s="104"/>
      <c r="F29" s="31"/>
      <c r="G29" s="25"/>
      <c r="H29" s="95" t="s">
        <v>57</v>
      </c>
      <c r="I29" s="96"/>
      <c r="J29" s="30"/>
      <c r="K29" s="121">
        <v>0</v>
      </c>
      <c r="L29" s="32">
        <f t="shared" si="0"/>
        <v>0</v>
      </c>
      <c r="M29" s="28"/>
    </row>
    <row r="30" spans="2:17">
      <c r="B30" s="130"/>
      <c r="C30" s="131"/>
      <c r="D30" s="30"/>
      <c r="E30" s="104"/>
      <c r="F30" s="31"/>
      <c r="G30" s="25"/>
      <c r="H30" s="33"/>
      <c r="I30" s="34"/>
      <c r="J30" s="30"/>
      <c r="L30" s="32">
        <f t="shared" si="0"/>
        <v>0</v>
      </c>
      <c r="M30" s="28"/>
    </row>
    <row r="31" spans="2:17">
      <c r="B31" s="33"/>
      <c r="C31" s="34"/>
      <c r="D31" s="30"/>
      <c r="E31" s="108"/>
      <c r="F31" s="31"/>
      <c r="G31" s="25"/>
      <c r="H31" s="33"/>
      <c r="I31" s="34"/>
      <c r="J31" s="30"/>
      <c r="K31" s="30"/>
      <c r="L31" s="32"/>
      <c r="M31" s="28"/>
    </row>
    <row r="32" spans="2:17">
      <c r="B32" s="33"/>
      <c r="C32" s="34"/>
      <c r="D32" s="30"/>
      <c r="E32" s="108"/>
      <c r="F32" s="31"/>
      <c r="G32" s="25"/>
      <c r="H32" s="33"/>
      <c r="I32" s="34"/>
      <c r="J32" s="30"/>
      <c r="K32" s="30"/>
      <c r="L32" s="32"/>
      <c r="M32" s="28"/>
    </row>
    <row r="33" spans="2:15">
      <c r="B33" s="33"/>
      <c r="C33" s="34"/>
      <c r="D33" s="30"/>
      <c r="E33" s="108"/>
      <c r="F33" s="31"/>
      <c r="G33" s="25"/>
      <c r="H33" s="33"/>
      <c r="I33" s="34"/>
      <c r="J33" s="30"/>
      <c r="K33" s="30"/>
      <c r="L33" s="32"/>
      <c r="M33" s="28"/>
    </row>
    <row r="34" spans="2:15">
      <c r="B34" s="130"/>
      <c r="C34" s="131"/>
      <c r="D34" s="30"/>
      <c r="E34" s="104"/>
      <c r="F34" s="32"/>
      <c r="G34" s="25"/>
      <c r="H34" s="33"/>
      <c r="I34" s="34"/>
      <c r="J34" s="30"/>
      <c r="K34" s="30"/>
      <c r="L34" s="32"/>
      <c r="M34" s="28"/>
    </row>
    <row r="35" spans="2:15" ht="13.8" thickBot="1">
      <c r="B35" s="35"/>
      <c r="C35" s="36"/>
      <c r="D35" s="37"/>
      <c r="E35" s="105"/>
      <c r="F35" s="38"/>
      <c r="G35" s="25"/>
      <c r="H35" s="35"/>
      <c r="I35" s="36"/>
      <c r="J35" s="37"/>
      <c r="K35" s="37"/>
      <c r="L35" s="38"/>
      <c r="M35" s="28"/>
    </row>
    <row r="36" spans="2:15" ht="13.8" thickBot="1">
      <c r="B36" s="146" t="s">
        <v>26</v>
      </c>
      <c r="C36" s="147"/>
      <c r="D36" s="39" t="s">
        <v>30</v>
      </c>
      <c r="E36" s="40">
        <f>SUM(E25:E35)</f>
        <v>0</v>
      </c>
      <c r="F36" s="40">
        <f>SUM(F25:F35)</f>
        <v>0</v>
      </c>
      <c r="H36" s="41" t="s">
        <v>26</v>
      </c>
      <c r="I36" s="42"/>
      <c r="J36" s="39" t="s">
        <v>30</v>
      </c>
      <c r="K36" s="40">
        <f>SUM(K25:K34)</f>
        <v>0</v>
      </c>
      <c r="L36" s="40">
        <f>SUM(L25:L35)</f>
        <v>0</v>
      </c>
      <c r="M36" s="28"/>
      <c r="N36" s="29"/>
      <c r="O36" s="29"/>
    </row>
    <row r="37" spans="2:15">
      <c r="B37" s="43"/>
      <c r="C37" s="43"/>
      <c r="D37" s="44"/>
      <c r="E37" s="45"/>
      <c r="F37" s="45"/>
      <c r="H37" s="43"/>
      <c r="I37" s="43"/>
      <c r="J37" s="44"/>
      <c r="K37" s="45"/>
      <c r="L37" s="45"/>
      <c r="M37" s="28"/>
      <c r="N37" s="29"/>
      <c r="O37" s="29"/>
    </row>
    <row r="38" spans="2:15" ht="13.8" thickBot="1">
      <c r="B38" s="148" t="s">
        <v>45</v>
      </c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28"/>
    </row>
    <row r="39" spans="2:15" ht="15" customHeight="1" thickBot="1">
      <c r="B39" s="150" t="s">
        <v>31</v>
      </c>
      <c r="C39" s="151"/>
      <c r="D39" s="152"/>
      <c r="E39" s="113" t="s">
        <v>52</v>
      </c>
      <c r="F39" s="113" t="s">
        <v>26</v>
      </c>
      <c r="H39" s="136" t="s">
        <v>32</v>
      </c>
      <c r="I39" s="137"/>
      <c r="J39" s="137"/>
      <c r="K39" s="137"/>
      <c r="L39" s="138"/>
      <c r="M39" s="25"/>
    </row>
    <row r="40" spans="2:15">
      <c r="B40" s="130" t="s">
        <v>50</v>
      </c>
      <c r="C40" s="131"/>
      <c r="D40" s="46"/>
      <c r="E40" s="106"/>
      <c r="F40" s="114">
        <v>0</v>
      </c>
      <c r="H40" s="130" t="s">
        <v>50</v>
      </c>
      <c r="I40" s="131"/>
      <c r="J40" s="46"/>
      <c r="K40" s="119"/>
      <c r="L40" s="47">
        <f>K40-E40</f>
        <v>0</v>
      </c>
      <c r="M40" s="25"/>
    </row>
    <row r="41" spans="2:15">
      <c r="B41" s="130" t="s">
        <v>58</v>
      </c>
      <c r="C41" s="131"/>
      <c r="D41" s="48"/>
      <c r="E41" s="106"/>
      <c r="F41" s="51">
        <v>0</v>
      </c>
      <c r="H41" s="130"/>
      <c r="I41" s="131"/>
      <c r="J41" s="48"/>
      <c r="K41" s="51"/>
      <c r="L41" s="50">
        <f t="shared" ref="L41:L50" si="1">K41-F41</f>
        <v>0</v>
      </c>
      <c r="M41" s="25"/>
    </row>
    <row r="42" spans="2:15">
      <c r="B42" s="130"/>
      <c r="C42" s="131"/>
      <c r="D42" s="48"/>
      <c r="E42" s="106"/>
      <c r="F42" s="51">
        <v>0</v>
      </c>
      <c r="H42" s="130"/>
      <c r="I42" s="131"/>
      <c r="J42" s="48"/>
      <c r="K42" s="51"/>
      <c r="L42" s="50">
        <f t="shared" si="1"/>
        <v>0</v>
      </c>
      <c r="M42" s="25"/>
    </row>
    <row r="43" spans="2:15">
      <c r="B43" s="130"/>
      <c r="C43" s="131"/>
      <c r="D43" s="48"/>
      <c r="E43" s="106"/>
      <c r="F43" s="51">
        <v>0</v>
      </c>
      <c r="H43" s="130"/>
      <c r="I43" s="131"/>
      <c r="J43" s="48"/>
      <c r="K43" s="51"/>
      <c r="L43" s="50">
        <f t="shared" si="1"/>
        <v>0</v>
      </c>
      <c r="M43" s="25"/>
    </row>
    <row r="44" spans="2:15">
      <c r="B44" s="130"/>
      <c r="C44" s="131"/>
      <c r="D44" s="48"/>
      <c r="E44" s="106"/>
      <c r="F44" s="51">
        <v>0</v>
      </c>
      <c r="H44" s="130"/>
      <c r="I44" s="131"/>
      <c r="J44" s="48"/>
      <c r="K44" s="51"/>
      <c r="L44" s="50">
        <f t="shared" si="1"/>
        <v>0</v>
      </c>
      <c r="M44" s="25"/>
    </row>
    <row r="45" spans="2:15">
      <c r="B45" s="130"/>
      <c r="C45" s="131"/>
      <c r="D45" s="48"/>
      <c r="E45" s="106"/>
      <c r="F45" s="51">
        <v>0</v>
      </c>
      <c r="H45" s="130"/>
      <c r="I45" s="131"/>
      <c r="J45" s="48"/>
      <c r="K45" s="51"/>
      <c r="L45" s="50">
        <f t="shared" si="1"/>
        <v>0</v>
      </c>
      <c r="M45" s="25"/>
    </row>
    <row r="46" spans="2:15">
      <c r="B46" s="130"/>
      <c r="C46" s="131"/>
      <c r="D46" s="48"/>
      <c r="E46" s="109"/>
      <c r="F46" s="49"/>
      <c r="H46" s="130"/>
      <c r="I46" s="131"/>
      <c r="J46" s="48"/>
      <c r="K46" s="51"/>
      <c r="L46" s="50">
        <f t="shared" si="1"/>
        <v>0</v>
      </c>
      <c r="M46" s="25"/>
    </row>
    <row r="47" spans="2:15">
      <c r="B47" s="130"/>
      <c r="C47" s="131"/>
      <c r="D47" s="48"/>
      <c r="E47" s="109"/>
      <c r="F47" s="49"/>
      <c r="H47" s="130"/>
      <c r="I47" s="131"/>
      <c r="J47" s="48"/>
      <c r="K47" s="49"/>
      <c r="L47" s="50">
        <f t="shared" si="1"/>
        <v>0</v>
      </c>
      <c r="M47" s="25"/>
    </row>
    <row r="48" spans="2:15">
      <c r="B48" s="130"/>
      <c r="C48" s="131"/>
      <c r="D48" s="48"/>
      <c r="E48" s="109"/>
      <c r="F48" s="49"/>
      <c r="H48" s="130"/>
      <c r="I48" s="131"/>
      <c r="J48" s="48"/>
      <c r="K48" s="49"/>
      <c r="L48" s="50">
        <f t="shared" si="1"/>
        <v>0</v>
      </c>
      <c r="M48" s="25"/>
    </row>
    <row r="49" spans="2:16">
      <c r="B49" s="130"/>
      <c r="C49" s="131"/>
      <c r="D49" s="48"/>
      <c r="E49" s="106"/>
      <c r="F49" s="51"/>
      <c r="H49" s="130"/>
      <c r="I49" s="131"/>
      <c r="J49" s="48"/>
      <c r="K49" s="51"/>
      <c r="L49" s="50">
        <f t="shared" si="1"/>
        <v>0</v>
      </c>
      <c r="M49" s="25"/>
    </row>
    <row r="50" spans="2:16" ht="13.8" thickBot="1">
      <c r="B50" s="132"/>
      <c r="C50" s="133"/>
      <c r="D50" s="52"/>
      <c r="E50" s="110"/>
      <c r="F50" s="53"/>
      <c r="H50" s="132"/>
      <c r="I50" s="133"/>
      <c r="J50" s="52"/>
      <c r="K50" s="53"/>
      <c r="L50" s="54">
        <f t="shared" si="1"/>
        <v>0</v>
      </c>
      <c r="M50" s="25"/>
    </row>
    <row r="51" spans="2:16" ht="13.8" thickBot="1">
      <c r="B51" s="126" t="s">
        <v>26</v>
      </c>
      <c r="C51" s="126"/>
      <c r="D51" s="127"/>
      <c r="E51" s="55">
        <f>SUM(E39:E50)</f>
        <v>0</v>
      </c>
      <c r="F51" s="55">
        <f>SUM(F40:F50)</f>
        <v>0</v>
      </c>
      <c r="H51" s="126" t="s">
        <v>26</v>
      </c>
      <c r="I51" s="126"/>
      <c r="J51" s="127"/>
      <c r="K51" s="55">
        <f>SUM(K40:K50)</f>
        <v>0</v>
      </c>
      <c r="L51" s="103">
        <f>SUM(L40:L50)</f>
        <v>0</v>
      </c>
      <c r="M51" s="28"/>
      <c r="N51" s="56"/>
    </row>
    <row r="52" spans="2:16" ht="13.8" thickBot="1">
      <c r="B52" s="57"/>
      <c r="C52" s="57"/>
      <c r="D52" s="57"/>
      <c r="E52" s="40">
        <f>E51/L18</f>
        <v>0</v>
      </c>
      <c r="F52" s="58">
        <f>F51/L18</f>
        <v>0</v>
      </c>
      <c r="H52" s="57"/>
      <c r="I52" s="57"/>
      <c r="J52" s="44" t="s">
        <v>3</v>
      </c>
      <c r="K52" s="58">
        <f>+K51/L19</f>
        <v>0</v>
      </c>
      <c r="L52" s="59">
        <f>+L51/L19</f>
        <v>0</v>
      </c>
      <c r="M52" s="28"/>
      <c r="N52" s="29"/>
    </row>
    <row r="53" spans="2:16" ht="13.8" thickBot="1">
      <c r="B53" s="60" t="s">
        <v>44</v>
      </c>
      <c r="C53" s="61" t="e">
        <f>#REF!</f>
        <v>#REF!</v>
      </c>
      <c r="D53" s="57"/>
      <c r="E53" s="109"/>
      <c r="F53" s="45"/>
      <c r="H53" s="57"/>
      <c r="I53" s="57"/>
      <c r="J53" s="57"/>
      <c r="K53" s="45"/>
      <c r="L53" s="45"/>
      <c r="M53" s="28"/>
    </row>
    <row r="54" spans="2:16" ht="15" customHeight="1" thickBot="1">
      <c r="B54" s="141" t="s">
        <v>33</v>
      </c>
      <c r="C54" s="142"/>
      <c r="D54" s="143"/>
      <c r="E54" s="113" t="s">
        <v>52</v>
      </c>
      <c r="F54" s="113" t="s">
        <v>26</v>
      </c>
      <c r="H54" s="136" t="s">
        <v>33</v>
      </c>
      <c r="I54" s="137"/>
      <c r="J54" s="137"/>
      <c r="K54" s="137"/>
      <c r="L54" s="138"/>
      <c r="M54" s="28"/>
    </row>
    <row r="55" spans="2:16">
      <c r="B55" s="139" t="s">
        <v>34</v>
      </c>
      <c r="C55" s="140"/>
      <c r="D55" s="62"/>
      <c r="E55" s="27"/>
      <c r="F55" s="27">
        <f>E55</f>
        <v>0</v>
      </c>
      <c r="H55" s="139" t="s">
        <v>33</v>
      </c>
      <c r="I55" s="140"/>
      <c r="J55" s="62"/>
      <c r="K55" s="101"/>
      <c r="L55" s="63">
        <f>K55-E55</f>
        <v>0</v>
      </c>
      <c r="M55" s="28"/>
    </row>
    <row r="56" spans="2:16">
      <c r="B56" s="130"/>
      <c r="C56" s="131"/>
      <c r="D56" s="64"/>
      <c r="E56" s="115"/>
      <c r="F56" s="65"/>
      <c r="H56" s="130"/>
      <c r="I56" s="131"/>
      <c r="J56" s="64"/>
      <c r="K56" s="66"/>
      <c r="L56" s="65">
        <f>K56-F56</f>
        <v>0</v>
      </c>
      <c r="M56" s="28"/>
    </row>
    <row r="57" spans="2:16">
      <c r="B57" s="130"/>
      <c r="C57" s="131"/>
      <c r="D57" s="64"/>
      <c r="E57" s="111"/>
      <c r="F57" s="65"/>
      <c r="H57" s="130"/>
      <c r="I57" s="131"/>
      <c r="J57" s="64"/>
      <c r="K57" s="66"/>
      <c r="L57" s="65">
        <f>K57-F57</f>
        <v>0</v>
      </c>
      <c r="M57" s="28"/>
    </row>
    <row r="58" spans="2:16" ht="13.8" thickBot="1">
      <c r="B58" s="132"/>
      <c r="C58" s="133"/>
      <c r="D58" s="52"/>
      <c r="E58" s="116"/>
      <c r="F58" s="67"/>
      <c r="H58" s="132"/>
      <c r="I58" s="133"/>
      <c r="J58" s="52"/>
      <c r="K58" s="68"/>
      <c r="L58" s="67">
        <f>K58-F58</f>
        <v>0</v>
      </c>
      <c r="M58" s="28"/>
    </row>
    <row r="59" spans="2:16" ht="13.8" thickBot="1">
      <c r="B59" s="126" t="s">
        <v>35</v>
      </c>
      <c r="C59" s="126"/>
      <c r="D59" s="127"/>
      <c r="E59" s="120">
        <f>SUM(E55:E58)</f>
        <v>0</v>
      </c>
      <c r="F59" s="69">
        <f>SUM(F55:F58)</f>
        <v>0</v>
      </c>
      <c r="H59" s="126" t="s">
        <v>26</v>
      </c>
      <c r="I59" s="126"/>
      <c r="J59" s="127"/>
      <c r="K59" s="69">
        <f>SUM(K55:K58)</f>
        <v>0</v>
      </c>
      <c r="L59" s="69">
        <f>K59-F59</f>
        <v>0</v>
      </c>
      <c r="M59" s="28"/>
    </row>
    <row r="60" spans="2:16" ht="13.8" thickBot="1">
      <c r="B60" s="57"/>
      <c r="C60" s="57"/>
      <c r="D60" s="57"/>
      <c r="E60" s="116"/>
      <c r="F60" s="61"/>
      <c r="H60" s="57"/>
      <c r="I60" s="57"/>
      <c r="J60" s="57"/>
      <c r="K60" s="61"/>
      <c r="L60" s="61"/>
      <c r="M60" s="28"/>
    </row>
    <row r="61" spans="2:16" ht="13.8" thickBot="1">
      <c r="B61" s="70" t="s">
        <v>36</v>
      </c>
      <c r="C61" s="71"/>
      <c r="D61" s="72"/>
      <c r="E61" s="73">
        <f>E36+E52+E59</f>
        <v>0</v>
      </c>
      <c r="F61" s="61"/>
      <c r="H61" s="74" t="s">
        <v>37</v>
      </c>
      <c r="I61" s="75"/>
      <c r="J61" s="76"/>
      <c r="K61" s="124">
        <f>+K36+K52+K59</f>
        <v>0</v>
      </c>
      <c r="L61" s="58">
        <f>L36+L52+L59</f>
        <v>0</v>
      </c>
      <c r="M61" s="28"/>
      <c r="P61" s="29"/>
    </row>
    <row r="62" spans="2:16">
      <c r="B62" s="57"/>
      <c r="C62" s="57"/>
      <c r="D62" s="57"/>
      <c r="E62" s="61"/>
      <c r="F62" s="61"/>
      <c r="H62" s="57"/>
      <c r="I62" s="57"/>
      <c r="J62" s="57"/>
      <c r="K62" s="61"/>
      <c r="L62" s="61"/>
      <c r="M62" s="28"/>
    </row>
    <row r="63" spans="2:16" ht="13.8" thickBot="1">
      <c r="B63" s="57"/>
      <c r="C63" s="57"/>
      <c r="D63" s="57"/>
      <c r="E63" s="61"/>
      <c r="F63" s="61"/>
      <c r="H63" s="57"/>
      <c r="I63" s="57"/>
      <c r="J63" s="57"/>
      <c r="K63" s="61"/>
      <c r="L63" s="61"/>
      <c r="M63" s="28"/>
    </row>
    <row r="64" spans="2:16" ht="14.25" customHeight="1" thickBot="1">
      <c r="B64" s="77" t="s">
        <v>53</v>
      </c>
      <c r="C64" s="78"/>
      <c r="E64" s="79">
        <f>L61</f>
        <v>0</v>
      </c>
      <c r="F64" s="117"/>
      <c r="H64" s="57"/>
      <c r="I64" s="128" t="s">
        <v>38</v>
      </c>
      <c r="J64" s="128"/>
      <c r="K64" s="128"/>
      <c r="M64" s="28"/>
    </row>
    <row r="65" spans="2:13" ht="14.25" customHeight="1" thickBot="1">
      <c r="B65" s="80"/>
      <c r="C65" s="80"/>
      <c r="D65" s="81"/>
      <c r="E65" s="61"/>
      <c r="F65" s="61"/>
      <c r="H65" s="2">
        <v>1</v>
      </c>
      <c r="I65" s="82" t="s">
        <v>39</v>
      </c>
      <c r="J65" s="83" t="s">
        <v>3</v>
      </c>
      <c r="K65" s="27"/>
      <c r="M65" s="28"/>
    </row>
    <row r="66" spans="2:13" ht="13.8" thickBot="1">
      <c r="B66" s="84" t="s">
        <v>54</v>
      </c>
      <c r="C66" s="85"/>
      <c r="E66" s="58">
        <v>0</v>
      </c>
      <c r="F66" s="45"/>
      <c r="H66" s="2">
        <v>2</v>
      </c>
      <c r="I66" s="86" t="s">
        <v>40</v>
      </c>
      <c r="J66" s="87" t="s">
        <v>3</v>
      </c>
      <c r="K66" s="32">
        <v>0</v>
      </c>
      <c r="M66" s="28"/>
    </row>
    <row r="67" spans="2:13" ht="13.8" thickBot="1">
      <c r="B67" s="88"/>
      <c r="C67" s="25"/>
      <c r="D67" s="45"/>
      <c r="E67" s="61"/>
      <c r="F67" s="61"/>
      <c r="H67" s="2">
        <v>3</v>
      </c>
      <c r="I67" s="33" t="s">
        <v>41</v>
      </c>
      <c r="J67" s="87" t="s">
        <v>3</v>
      </c>
      <c r="K67" s="32">
        <f>F52</f>
        <v>0</v>
      </c>
      <c r="L67" s="61"/>
      <c r="M67" s="28"/>
    </row>
    <row r="68" spans="2:13" ht="13.8" thickBot="1">
      <c r="B68" s="84" t="s">
        <v>55</v>
      </c>
      <c r="C68" s="89"/>
      <c r="E68" s="58">
        <f>E64*20%</f>
        <v>0</v>
      </c>
      <c r="F68" s="45" t="s">
        <v>64</v>
      </c>
      <c r="H68" s="2"/>
      <c r="I68" s="35" t="s">
        <v>0</v>
      </c>
      <c r="J68" s="90" t="s">
        <v>3</v>
      </c>
      <c r="K68" s="38">
        <f>F59</f>
        <v>0</v>
      </c>
    </row>
    <row r="69" spans="2:13" ht="14.25" customHeight="1" thickBot="1">
      <c r="E69" s="57"/>
      <c r="F69" s="57"/>
      <c r="I69" s="2"/>
      <c r="J69" s="44"/>
      <c r="K69" s="45"/>
    </row>
    <row r="70" spans="2:13" ht="13.5" customHeight="1" thickBot="1">
      <c r="B70" s="134" t="s">
        <v>56</v>
      </c>
      <c r="C70" s="135"/>
      <c r="D70" s="91"/>
      <c r="E70" s="112">
        <f>E64-E66-E68</f>
        <v>0</v>
      </c>
      <c r="F70" s="29"/>
    </row>
    <row r="71" spans="2:13">
      <c r="B71" s="92"/>
      <c r="C71" s="29"/>
      <c r="D71" s="29"/>
      <c r="E71" s="118"/>
      <c r="F71" s="29"/>
    </row>
    <row r="72" spans="2:13">
      <c r="B72" s="57" t="s">
        <v>62</v>
      </c>
      <c r="C72" s="29"/>
      <c r="D72" s="29"/>
      <c r="E72" s="29"/>
      <c r="F72" s="29"/>
    </row>
    <row r="73" spans="2:13">
      <c r="B73" s="57" t="s">
        <v>59</v>
      </c>
      <c r="C73" s="29"/>
      <c r="D73" s="29"/>
      <c r="F73" s="29"/>
    </row>
    <row r="74" spans="2:13">
      <c r="B74" s="57"/>
      <c r="C74" s="93"/>
      <c r="D74" s="93"/>
      <c r="F74" s="93"/>
      <c r="H74" s="129"/>
      <c r="I74" s="129"/>
      <c r="J74" s="28"/>
    </row>
    <row r="92" spans="9:9">
      <c r="I92" s="94"/>
    </row>
  </sheetData>
  <mergeCells count="73">
    <mergeCell ref="I13:K13"/>
    <mergeCell ref="H4:L6"/>
    <mergeCell ref="H8:J9"/>
    <mergeCell ref="K8:L9"/>
    <mergeCell ref="C12:F12"/>
    <mergeCell ref="I12:K12"/>
    <mergeCell ref="B24:C24"/>
    <mergeCell ref="H24:I24"/>
    <mergeCell ref="C14:F14"/>
    <mergeCell ref="I14:K14"/>
    <mergeCell ref="I15:K15"/>
    <mergeCell ref="B16:C16"/>
    <mergeCell ref="I16:K16"/>
    <mergeCell ref="B17:C17"/>
    <mergeCell ref="I17:K17"/>
    <mergeCell ref="B18:C18"/>
    <mergeCell ref="B19:C19"/>
    <mergeCell ref="D21:F21"/>
    <mergeCell ref="B22:F23"/>
    <mergeCell ref="H22:L23"/>
    <mergeCell ref="B38:L38"/>
    <mergeCell ref="B25:C25"/>
    <mergeCell ref="H25:I25"/>
    <mergeCell ref="B26:C26"/>
    <mergeCell ref="H26:I26"/>
    <mergeCell ref="B27:C27"/>
    <mergeCell ref="H27:I27"/>
    <mergeCell ref="B28:C28"/>
    <mergeCell ref="B29:C29"/>
    <mergeCell ref="B30:C30"/>
    <mergeCell ref="B34:C34"/>
    <mergeCell ref="B36:C36"/>
    <mergeCell ref="B39:D39"/>
    <mergeCell ref="H39:L39"/>
    <mergeCell ref="B40:C40"/>
    <mergeCell ref="H40:I40"/>
    <mergeCell ref="B41:C41"/>
    <mergeCell ref="H41:I41"/>
    <mergeCell ref="B42:C42"/>
    <mergeCell ref="H42:I42"/>
    <mergeCell ref="B43:C43"/>
    <mergeCell ref="H43:I43"/>
    <mergeCell ref="B44:C44"/>
    <mergeCell ref="H44:I44"/>
    <mergeCell ref="B45:C45"/>
    <mergeCell ref="H45:I45"/>
    <mergeCell ref="B46:C46"/>
    <mergeCell ref="H46:I46"/>
    <mergeCell ref="B47:C47"/>
    <mergeCell ref="H47:I47"/>
    <mergeCell ref="B48:C48"/>
    <mergeCell ref="H48:I48"/>
    <mergeCell ref="B49:C49"/>
    <mergeCell ref="H49:I49"/>
    <mergeCell ref="B50:C50"/>
    <mergeCell ref="H50:I50"/>
    <mergeCell ref="B51:D51"/>
    <mergeCell ref="H51:J51"/>
    <mergeCell ref="B54:D54"/>
    <mergeCell ref="H54:L54"/>
    <mergeCell ref="B55:C55"/>
    <mergeCell ref="H55:I55"/>
    <mergeCell ref="B56:C56"/>
    <mergeCell ref="H56:I56"/>
    <mergeCell ref="B57:C57"/>
    <mergeCell ref="H57:I57"/>
    <mergeCell ref="B58:C58"/>
    <mergeCell ref="H58:I58"/>
    <mergeCell ref="B59:D59"/>
    <mergeCell ref="H59:J59"/>
    <mergeCell ref="I64:K64"/>
    <mergeCell ref="B70:C70"/>
    <mergeCell ref="H74:I74"/>
  </mergeCells>
  <pageMargins left="0.7" right="0.7" top="0.75" bottom="0.75" header="0.3" footer="0.3"/>
  <pageSetup paperSize="9" scale="0" firstPageNumber="0" fitToWidth="0" fitToHeight="0" orientation="portrait" horizontalDpi="0" verticalDpi="0" copies="0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F8DD707C13C84DBE3E40EE990BBD5D" ma:contentTypeVersion="18" ma:contentTypeDescription="Crear nuevo documento." ma:contentTypeScope="" ma:versionID="229745afec34bde1babc468d6746795b">
  <xsd:schema xmlns:xsd="http://www.w3.org/2001/XMLSchema" xmlns:xs="http://www.w3.org/2001/XMLSchema" xmlns:p="http://schemas.microsoft.com/office/2006/metadata/properties" xmlns:ns2="81f8c495-6bb0-4511-93f6-6292da2fc6f0" xmlns:ns3="6f26eee9-02cd-420d-987d-5be2843a06d9" targetNamespace="http://schemas.microsoft.com/office/2006/metadata/properties" ma:root="true" ma:fieldsID="9e50f091e9b7bf02b2258f2979b8d72e" ns2:_="" ns3:_="">
    <xsd:import namespace="81f8c495-6bb0-4511-93f6-6292da2fc6f0"/>
    <xsd:import namespace="6f26eee9-02cd-420d-987d-5be2843a06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f8c495-6bb0-4511-93f6-6292da2fc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afb9defe-c9dd-4209-9946-a9d6fd2197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26eee9-02cd-420d-987d-5be2843a06d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ece67-97d8-4547-94bd-0186e7ad3f73}" ma:internalName="TaxCatchAll" ma:showField="CatchAllData" ma:web="6f26eee9-02cd-420d-987d-5be2843a06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f8c495-6bb0-4511-93f6-6292da2fc6f0">
      <Terms xmlns="http://schemas.microsoft.com/office/infopath/2007/PartnerControls"/>
    </lcf76f155ced4ddcb4097134ff3c332f>
    <TaxCatchAll xmlns="6f26eee9-02cd-420d-987d-5be2843a06d9" xsi:nil="true"/>
  </documentManagement>
</p:properties>
</file>

<file path=customXml/itemProps1.xml><?xml version="1.0" encoding="utf-8"?>
<ds:datastoreItem xmlns:ds="http://schemas.openxmlformats.org/officeDocument/2006/customXml" ds:itemID="{B7517799-68AF-4BD3-8849-CD52842B35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4C93B1-27C8-44A5-8791-2E6FF09C940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1f8c495-6bb0-4511-93f6-6292da2fc6f0"/>
    <ds:schemaRef ds:uri="6f26eee9-02cd-420d-987d-5be2843a06d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54C823-72E4-4F14-8618-85E797E62EF0}">
  <ds:schemaRefs>
    <ds:schemaRef ds:uri="http://schemas.microsoft.com/office/2006/metadata/properties"/>
    <ds:schemaRef ds:uri="http://www.w3.org/2000/xmlns/"/>
    <ds:schemaRef ds:uri="81f8c495-6bb0-4511-93f6-6292da2fc6f0"/>
    <ds:schemaRef ds:uri="http://schemas.microsoft.com/office/infopath/2007/PartnerControls"/>
    <ds:schemaRef ds:uri="6f26eee9-02cd-420d-987d-5be2843a06d9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OPERACION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Rodrigo Robadin Grupo ATM</cp:lastModifiedBy>
  <cp:lastPrinted>2023-12-18T12:39:31Z</cp:lastPrinted>
  <dcterms:created xsi:type="dcterms:W3CDTF">2017-05-16T14:51:42Z</dcterms:created>
  <dcterms:modified xsi:type="dcterms:W3CDTF">2026-06-09T20:07:24Z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0x010100D8F8DD707C13C84DBE3E40EE990BBD5D</vt:lpwstr>
  </property>
  <property fmtid="{D5CDD505-2E9C-101B-9397-08002B2CF9AE}" pid="3" name="MediaServiceImageTags">
    <vt:lpwstr/>
  </property>
</Properties>
</file>